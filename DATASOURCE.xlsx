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ESTUDIO\Documents\TP-IO\"/>
    </mc:Choice>
  </mc:AlternateContent>
  <xr:revisionPtr revIDLastSave="0" documentId="13_ncr:1_{92DFE86E-E0EF-4F82-986B-C2842C1A1DBB}" xr6:coauthVersionLast="47" xr6:coauthVersionMax="47" xr10:uidLastSave="{00000000-0000-0000-0000-000000000000}"/>
  <bookViews>
    <workbookView xWindow="13935" yWindow="0" windowWidth="13935" windowHeight="16200" activeTab="1" xr2:uid="{00000000-000D-0000-FFFF-FFFF00000000}"/>
  </bookViews>
  <sheets>
    <sheet name="DataSource" sheetId="1" r:id="rId1"/>
    <sheet name="PRODUCTOS" sheetId="3" r:id="rId2"/>
    <sheet name="PLANTAS" sheetId="4" r:id="rId3"/>
    <sheet name="CENTROS" sheetId="5" r:id="rId4"/>
    <sheet name="DEMANDA" sheetId="6" r:id="rId5"/>
    <sheet name="COSTOS" sheetId="8" r:id="rId6"/>
    <sheet name="PARAMETRO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1" l="1"/>
  <c r="G5" i="1"/>
  <c r="H5" i="1"/>
  <c r="F6" i="1"/>
  <c r="G6" i="1"/>
  <c r="H6" i="1"/>
  <c r="F7" i="1"/>
  <c r="G7" i="1"/>
  <c r="H7" i="1"/>
  <c r="F8" i="1"/>
  <c r="G8" i="1"/>
  <c r="H8" i="1"/>
  <c r="F9" i="1"/>
  <c r="G9" i="1"/>
  <c r="H9" i="1"/>
  <c r="H4" i="1"/>
  <c r="G4" i="1"/>
  <c r="F4" i="1"/>
  <c r="E4" i="1"/>
  <c r="E5" i="1"/>
  <c r="E6" i="1"/>
  <c r="E7" i="1"/>
  <c r="E8" i="1"/>
  <c r="E9" i="1"/>
  <c r="D5" i="1"/>
  <c r="D6" i="1"/>
  <c r="D7" i="1"/>
  <c r="D8" i="1"/>
  <c r="D9" i="1"/>
  <c r="D4" i="1"/>
</calcChain>
</file>

<file path=xl/sharedStrings.xml><?xml version="1.0" encoding="utf-8"?>
<sst xmlns="http://schemas.openxmlformats.org/spreadsheetml/2006/main" count="22" uniqueCount="22">
  <si>
    <t>DEMANDA TOTAL PAIS</t>
  </si>
  <si>
    <t>DEMANDA</t>
  </si>
  <si>
    <t>PRODUCTO</t>
  </si>
  <si>
    <t>DEMANDA A ABASTECER</t>
  </si>
  <si>
    <t>LECHE FLUIDA ENTERA</t>
  </si>
  <si>
    <t>LECHE FLUIDA DESCREMADA</t>
  </si>
  <si>
    <t>LECHE EN POLVO ENTERA</t>
  </si>
  <si>
    <t>LECHE EN POLVO DESCREMADA</t>
  </si>
  <si>
    <t>CREMA</t>
  </si>
  <si>
    <t>MANTECA</t>
  </si>
  <si>
    <t>ABASTECIMIENTO CF</t>
  </si>
  <si>
    <t>ABASTECIMIENTO ROSARIO</t>
  </si>
  <si>
    <t>ABASTECIMIENTO MENDOZA</t>
  </si>
  <si>
    <t>ABASTECIMIENTO TUCUMÁN</t>
  </si>
  <si>
    <t>CONSTANTES</t>
  </si>
  <si>
    <t>ABASTECIMIENTO NACIONAL</t>
  </si>
  <si>
    <t>DIVISION CAPITAL FEDERAL</t>
  </si>
  <si>
    <t>DIVISION ROSARIO</t>
  </si>
  <si>
    <t>DIVISION MENDOZA</t>
  </si>
  <si>
    <t>DIVISION TUCUMÁN</t>
  </si>
  <si>
    <t>NOMBRE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</si>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</sst>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9" fontId="0" fillId="0" borderId="3" xfId="1" applyFont="1" applyBorder="1"/>
    <xf numFmtId="167" fontId="0" fillId="0" borderId="2" xfId="0" applyNumberFormat="1" applyBorder="1"/>
    <xf numFmtId="167" fontId="0" fillId="0" borderId="3" xfId="0" applyNumberFormat="1" applyBorder="1"/>
    <xf numFmtId="0" fontId="0" fillId="0" borderId="1" xfId="0" applyBorder="1" applyAlignment="1">
      <alignment horizontal="right" wrapText="1"/>
    </xf>
    <xf numFmtId="0" fontId="0" fillId="0" borderId="0" xfId="0" applyAlignme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2"/>
  <sheetViews>
    <sheetView workbookViewId="0">
      <selection activeCell="D22" sqref="D22"/>
    </sheetView>
  </sheetViews>
  <sheetFormatPr baseColWidth="10" defaultColWidth="9.140625" defaultRowHeight="15" x14ac:dyDescent="0.25"/>
  <cols>
    <col min="2" max="2" width="28.7109375" customWidth="1"/>
    <col min="3" max="3" width="20.85546875" bestFit="1" customWidth="1"/>
    <col min="4" max="4" width="22.7109375" bestFit="1" customWidth="1"/>
    <col min="5" max="5" width="20" bestFit="1" customWidth="1"/>
    <col min="6" max="6" width="26" bestFit="1" customWidth="1"/>
    <col min="7" max="7" width="27.42578125" bestFit="1" customWidth="1"/>
    <col min="8" max="8" width="27.7109375" bestFit="1" customWidth="1"/>
    <col min="10" max="10" width="26.85546875" bestFit="1" customWidth="1"/>
  </cols>
  <sheetData>
    <row r="2" spans="2:11" x14ac:dyDescent="0.25">
      <c r="B2" s="3" t="s">
        <v>1</v>
      </c>
      <c r="C2" s="4"/>
      <c r="D2" s="4"/>
      <c r="E2" s="4"/>
      <c r="F2" s="4"/>
      <c r="G2" s="4"/>
      <c r="H2" s="5"/>
      <c r="J2" s="9" t="s">
        <v>14</v>
      </c>
      <c r="K2" s="10"/>
    </row>
    <row r="3" spans="2:11" x14ac:dyDescent="0.25">
      <c r="B3" s="6" t="s">
        <v>2</v>
      </c>
      <c r="C3" s="7" t="s">
        <v>0</v>
      </c>
      <c r="D3" s="7" t="s">
        <v>3</v>
      </c>
      <c r="E3" s="7" t="s">
        <v>10</v>
      </c>
      <c r="F3" s="7" t="s">
        <v>11</v>
      </c>
      <c r="G3" s="7" t="s">
        <v>12</v>
      </c>
      <c r="H3" s="8" t="s">
        <v>13</v>
      </c>
      <c r="J3" s="11" t="s">
        <v>15</v>
      </c>
      <c r="K3" s="12">
        <v>0.03</v>
      </c>
    </row>
    <row r="4" spans="2:11" x14ac:dyDescent="0.25">
      <c r="B4" s="15" t="s">
        <v>4</v>
      </c>
      <c r="C4" s="2">
        <v>50957</v>
      </c>
      <c r="D4" s="13">
        <f>$C4 * $K$3</f>
        <v>1528.71</v>
      </c>
      <c r="E4" s="13">
        <f>$D4 *$K$4</f>
        <v>687.91950000000008</v>
      </c>
      <c r="F4" s="13">
        <f>$D4 *$K$5</f>
        <v>382.17750000000001</v>
      </c>
      <c r="G4" s="13">
        <f>$D4 *$K$6</f>
        <v>275.1678</v>
      </c>
      <c r="H4" s="14">
        <f>$D4 *$K$7</f>
        <v>183.4452</v>
      </c>
      <c r="J4" s="1" t="s">
        <v>16</v>
      </c>
      <c r="K4" s="12">
        <v>0.45</v>
      </c>
    </row>
    <row r="5" spans="2:11" x14ac:dyDescent="0.25">
      <c r="B5" s="15" t="s">
        <v>5</v>
      </c>
      <c r="C5" s="2">
        <v>29533</v>
      </c>
      <c r="D5" s="13">
        <f t="shared" ref="D5:D9" si="0">$C5 * $K$3</f>
        <v>885.99</v>
      </c>
      <c r="E5" s="13">
        <f t="shared" ref="E5:E9" si="1">D5 *$K$4</f>
        <v>398.69550000000004</v>
      </c>
      <c r="F5" s="13">
        <f t="shared" ref="F5:F9" si="2">$D5 *$K$5</f>
        <v>221.4975</v>
      </c>
      <c r="G5" s="13">
        <f t="shared" ref="G5:G9" si="3">$D5 *$K$6</f>
        <v>159.47819999999999</v>
      </c>
      <c r="H5" s="14">
        <f t="shared" ref="H5:H9" si="4">$D5 *$K$7</f>
        <v>106.3188</v>
      </c>
      <c r="J5" s="1" t="s">
        <v>17</v>
      </c>
      <c r="K5" s="12">
        <v>0.25</v>
      </c>
    </row>
    <row r="6" spans="2:11" x14ac:dyDescent="0.25">
      <c r="B6" s="15" t="s">
        <v>6</v>
      </c>
      <c r="C6" s="2">
        <v>2957</v>
      </c>
      <c r="D6" s="13">
        <f t="shared" si="0"/>
        <v>88.71</v>
      </c>
      <c r="E6" s="13">
        <f t="shared" si="1"/>
        <v>39.919499999999999</v>
      </c>
      <c r="F6" s="13">
        <f t="shared" si="2"/>
        <v>22.177499999999998</v>
      </c>
      <c r="G6" s="13">
        <f t="shared" si="3"/>
        <v>15.967799999999999</v>
      </c>
      <c r="H6" s="14">
        <f t="shared" si="4"/>
        <v>10.645199999999999</v>
      </c>
      <c r="J6" s="1" t="s">
        <v>18</v>
      </c>
      <c r="K6" s="12">
        <v>0.18</v>
      </c>
    </row>
    <row r="7" spans="2:11" x14ac:dyDescent="0.25">
      <c r="B7" s="15" t="s">
        <v>7</v>
      </c>
      <c r="C7" s="2">
        <v>1066</v>
      </c>
      <c r="D7" s="13">
        <f t="shared" si="0"/>
        <v>31.98</v>
      </c>
      <c r="E7" s="13">
        <f t="shared" si="1"/>
        <v>14.391</v>
      </c>
      <c r="F7" s="13">
        <f t="shared" si="2"/>
        <v>7.9950000000000001</v>
      </c>
      <c r="G7" s="13">
        <f t="shared" si="3"/>
        <v>5.7564000000000002</v>
      </c>
      <c r="H7" s="14">
        <f t="shared" si="4"/>
        <v>3.8376000000000001</v>
      </c>
      <c r="J7" s="1" t="s">
        <v>19</v>
      </c>
      <c r="K7" s="12">
        <v>0.12</v>
      </c>
    </row>
    <row r="8" spans="2:11" x14ac:dyDescent="0.25">
      <c r="B8" s="15" t="s">
        <v>8</v>
      </c>
      <c r="C8" s="2">
        <v>4624</v>
      </c>
      <c r="D8" s="13">
        <f t="shared" si="0"/>
        <v>138.72</v>
      </c>
      <c r="E8" s="13">
        <f t="shared" si="1"/>
        <v>62.423999999999999</v>
      </c>
      <c r="F8" s="13">
        <f t="shared" si="2"/>
        <v>34.68</v>
      </c>
      <c r="G8" s="13">
        <f t="shared" si="3"/>
        <v>24.9696</v>
      </c>
      <c r="H8" s="14">
        <f t="shared" si="4"/>
        <v>16.6464</v>
      </c>
    </row>
    <row r="9" spans="2:11" x14ac:dyDescent="0.25">
      <c r="B9" s="15" t="s">
        <v>9</v>
      </c>
      <c r="C9" s="2">
        <v>1333</v>
      </c>
      <c r="D9" s="13">
        <f t="shared" si="0"/>
        <v>39.99</v>
      </c>
      <c r="E9" s="13">
        <f t="shared" si="1"/>
        <v>17.9955</v>
      </c>
      <c r="F9" s="13">
        <f t="shared" si="2"/>
        <v>9.9975000000000005</v>
      </c>
      <c r="G9" s="13">
        <f t="shared" si="3"/>
        <v>7.1981999999999999</v>
      </c>
      <c r="H9" s="14">
        <f t="shared" si="4"/>
        <v>4.7988</v>
      </c>
    </row>
    <row r="12" spans="2:11" x14ac:dyDescent="0.25">
      <c r="B12" s="16"/>
    </row>
  </sheetData>
  <mergeCells count="2">
    <mergeCell ref="B2:H2"/>
    <mergeCell ref="J2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D2DA4-F6E3-4713-B1BD-1D90C173D242}">
  <dimension ref="A1:B1"/>
  <sheetViews>
    <sheetView tabSelected="1" workbookViewId="0">
      <selection activeCell="B2" sqref="B2"/>
    </sheetView>
  </sheetViews>
  <sheetFormatPr baseColWidth="10" defaultRowHeight="15" x14ac:dyDescent="0.25"/>
  <sheetData>
    <row r="1" spans="1:2" x14ac:dyDescent="0.25">
      <c r="A1" t="s">
        <v>21</v>
      </c>
      <c r="B1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67BDC-1824-4C62-9FBC-9F18A24B1C2E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F3E16-D8D9-46CF-A17E-C295F3A9DEFD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238DB-EB40-47B2-9727-E2CAF9E60EE7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AF658-0AB1-441B-9DA6-4CE7EC373983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8AF02-5ABE-4DD2-9200-25621111412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DataSource</vt:lpstr>
      <vt:lpstr>PRODUCTOS</vt:lpstr>
      <vt:lpstr>PLANTAS</vt:lpstr>
      <vt:lpstr>CENTROS</vt:lpstr>
      <vt:lpstr>DEMANDA</vt:lpstr>
      <vt:lpstr>COSTOS</vt:lpstr>
      <vt:lpstr>PARAMETROS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ESTUDIO</dc:creator>
  <cp:lastModifiedBy>Juani Alaguibe</cp:lastModifiedBy>
  <dcterms:created xsi:type="dcterms:W3CDTF">2015-06-05T18:19:34Z</dcterms:created>
  <dcterms:modified xsi:type="dcterms:W3CDTF">2026-05-26T02:49:13Z</dcterms:modified>
</cp:coreProperties>
</file>