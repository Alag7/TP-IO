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ETS" sheetId="1" state="visible" r:id="rId2"/>
    <sheet name="PRODUCTOS" sheetId="2" state="visible" r:id="rId3"/>
    <sheet name="CAPACIDADES" sheetId="3" state="visible" r:id="rId4"/>
    <sheet name="DESCREMA" sheetId="4" state="visible" r:id="rId5"/>
    <sheet name="COSTOS" sheetId="5" state="visible" r:id="rId6"/>
    <sheet name="DEMANDA" sheetId="6" state="visible" r:id="rId7"/>
    <sheet name="PARAMETROS" sheetId="7" state="visible" r:id="rId8"/>
  </sheets>
  <definedNames>
    <definedName function="false" hidden="false" name="CAPACIDAD_CREMA" vbProcedure="false">CAPACIDADES!$D$2:$D$4</definedName>
    <definedName function="false" hidden="false" name="CAPACIDAD_LECHE_EN_POLVO" vbProcedure="false">CAPACIDADES!$C$2:$C$4</definedName>
    <definedName function="false" hidden="false" name="CAPACIDAD_LECHE_FLUIDA" vbProcedure="false">CAPACIDADES!$B$2:$B$4</definedName>
    <definedName function="false" hidden="false" name="CAPACIDAD_MANTECA" vbProcedure="false">CAPACIDADES!$E$2:$E$4</definedName>
    <definedName function="false" hidden="false" name="CAPACIDAD_QUESO" vbProcedure="false">CAPACIDADES!$F$2:$F$4</definedName>
    <definedName function="false" hidden="false" name="CENTROS" vbProcedure="false">SETS!$B$2:$B$5</definedName>
    <definedName function="false" hidden="false" name="COSTO" vbProcedure="false">COSTOS!$D$2:$D$97</definedName>
    <definedName function="false" hidden="false" name="COSTO_LD_SF" vbProcedure="false">DESCREMA!$B$2:$B$3</definedName>
    <definedName function="false" hidden="false" name="DEM" vbProcedure="false">DEMANDA!$C$2:$C$33</definedName>
    <definedName function="false" hidden="false" name="DESCREMA" vbProcedure="false">SETS!$D$2:$D$3</definedName>
    <definedName function="false" hidden="false" name="FACTOR_CONVERSION" vbProcedure="false">PRODUCTOS!$B$2:$B$9</definedName>
    <definedName function="false" hidden="false" name="LECHE_DISPONIBLE" vbProcedure="false">PARAMETROS!$A$2</definedName>
    <definedName function="false" hidden="false" name="PLANTA" vbProcedure="false">SETS!$A$2:$A$4</definedName>
    <definedName function="false" hidden="false" name="PRODUCTOS" vbProcedure="false">SETS!$C$2:$C$9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<sst xmlns="http://schemas.openxmlformats.org/spreadsheetml/2006/main" count="445" uniqueCount="66">
  <si>
    <t xml:space="preserve">PLANTA</t>
  </si>
  <si>
    <t xml:space="preserve">CENTROS</t>
  </si>
  <si>
    <t xml:space="preserve">PRODUCTOS</t>
  </si>
  <si>
    <t xml:space="preserve">DESCREMA</t>
  </si>
  <si>
    <t xml:space="preserve">*P1=Buenos Aires, P2=Córdoba, P3=Santa Fe</t>
  </si>
  <si>
    <t xml:space="preserve">P1</t>
  </si>
  <si>
    <t xml:space="preserve">C1</t>
  </si>
  <si>
    <t xml:space="preserve">LFE</t>
  </si>
  <si>
    <t xml:space="preserve">*C1=Capital Federa, C2=Rosario, C3=Mendoza, C4=Tucumán</t>
  </si>
  <si>
    <t xml:space="preserve">P2</t>
  </si>
  <si>
    <t xml:space="preserve">C2</t>
  </si>
  <si>
    <t xml:space="preserve">LFD</t>
  </si>
  <si>
    <t xml:space="preserve">P3</t>
  </si>
  <si>
    <t xml:space="preserve">C3</t>
  </si>
  <si>
    <t xml:space="preserve">LPE</t>
  </si>
  <si>
    <t xml:space="preserve">C4</t>
  </si>
  <si>
    <t xml:space="preserve">LPD</t>
  </si>
  <si>
    <t xml:space="preserve">CREMA</t>
  </si>
  <si>
    <t xml:space="preserve">MANTECA</t>
  </si>
  <si>
    <t xml:space="preserve">QB</t>
  </si>
  <si>
    <t xml:space="preserve">QMB</t>
  </si>
  <si>
    <t xml:space="preserve">PRODUCTO</t>
  </si>
  <si>
    <t xml:space="preserve">FACTOR_CONVERSION</t>
  </si>
  <si>
    <t xml:space="preserve">¿REFRIGERADO?</t>
  </si>
  <si>
    <t xml:space="preserve">CAPACIDAD_LECHE_FLUIDA</t>
  </si>
  <si>
    <t xml:space="preserve">CAPACIDAD_LECHE_EN_POLVO</t>
  </si>
  <si>
    <t xml:space="preserve">CAPACIDAD_CREMA</t>
  </si>
  <si>
    <t xml:space="preserve">CAPACIDAD_MANTECA</t>
  </si>
  <si>
    <t xml:space="preserve">CAPACIDAD_QUESO</t>
  </si>
  <si>
    <t xml:space="preserve">COSTO_LD_SF</t>
  </si>
  <si>
    <t xml:space="preserve">DISTANCIA</t>
  </si>
  <si>
    <t xml:space="preserve">GASTO</t>
  </si>
  <si>
    <t xml:space="preserve">FACTOR REFRIGERADO</t>
  </si>
  <si>
    <t xml:space="preserve">COSTO</t>
  </si>
  <si>
    <t xml:space="preserve">GASTO [$/tn]</t>
  </si>
  <si>
    <t xml:space="preserve">CONVERSION A KG</t>
  </si>
  <si>
    <t xml:space="preserve">CENTRO</t>
  </si>
  <si>
    <t xml:space="preserve">DEM</t>
  </si>
  <si>
    <t xml:space="preserve">constantes</t>
  </si>
  <si>
    <t xml:space="preserve">ABASTECIMIENTO NACIONAL</t>
  </si>
  <si>
    <t xml:space="preserve">Datos de otros grupos</t>
  </si>
  <si>
    <t xml:space="preserve">DIVISION CAPITAL FEDERAL</t>
  </si>
  <si>
    <t xml:space="preserve">estacionalidad leche octubre: 1,168,344,890</t>
  </si>
  <si>
    <t xml:space="preserve">DIVISION ROSARIO</t>
  </si>
  <si>
    <t xml:space="preserve">Ventas internas QMB: 5209.87 tn</t>
  </si>
  <si>
    <t xml:space="preserve">DIVISION MENDOZA</t>
  </si>
  <si>
    <t xml:space="preserve">Ventas internas QB: 16.193,30 tn</t>
  </si>
  <si>
    <t xml:space="preserve">DIVISION TUCUMÁN</t>
  </si>
  <si>
    <t xml:space="preserve">Ventas internas MT: 3698,16 tn</t>
  </si>
  <si>
    <t xml:space="preserve">Ventas internas CR: 7171 * 10^3 litros</t>
  </si>
  <si>
    <t xml:space="preserve">producto</t>
  </si>
  <si>
    <t xml:space="preserve">demanda total país</t>
  </si>
  <si>
    <t xml:space="preserve">Ventas internas LPD: 1009.27 tn</t>
  </si>
  <si>
    <t xml:space="preserve">LECHE FLUIDA ENTERA</t>
  </si>
  <si>
    <t xml:space="preserve">Ventas internes LF: (ref) 53531, (noref) 61301 *10^3 litros</t>
  </si>
  <si>
    <t xml:space="preserve">LECHE FLUIDA DESCREMADA</t>
  </si>
  <si>
    <t xml:space="preserve">LECHE EN POLVO ENTERA</t>
  </si>
  <si>
    <t xml:space="preserve">ventas LPE: </t>
  </si>
  <si>
    <t xml:space="preserve">LECHE EN POLVO DESCREMADA</t>
  </si>
  <si>
    <t xml:space="preserve">CABA 596.660,40 </t>
  </si>
  <si>
    <t xml:space="preserve"> ROS 331.477,99</t>
  </si>
  <si>
    <t xml:space="preserve">MDZ 238.664,16</t>
  </si>
  <si>
    <t xml:space="preserve">QUESO BLANCO</t>
  </si>
  <si>
    <t xml:space="preserve">TUC 159.109,44</t>
  </si>
  <si>
    <t xml:space="preserve">QUESO MUY BLANDO</t>
  </si>
  <si>
    <t xml:space="preserve">LECHE_DISPONIBLE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</si>
</sst>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0"/>
    <numFmt numFmtId="166" formatCode="#,##0.00"/>
    <numFmt numFmtId="167" formatCode="0.000"/>
    <numFmt numFmtId="168" formatCode="0.0000000"/>
    <numFmt numFmtId="169" formatCode="0.00"/>
    <numFmt numFmtId="170" formatCode="0%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2"/>
      <color rgb="FF000000"/>
      <name val="Inherit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3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0" fillId="0" borderId="1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D1" colorId="64" zoomScale="80" zoomScaleNormal="80" zoomScalePageLayoutView="100" workbookViewId="0">
      <selection pane="topLeft" activeCell="F1" activeCellId="0" sqref="F1"/>
    </sheetView>
  </sheetViews>
  <sheetFormatPr defaultColWidth="10.59765625" defaultRowHeight="15" zeroHeight="false" outlineLevelRow="0" outlineLevelCol="0"/>
  <cols>
    <col collapsed="false" customWidth="true" hidden="false" outlineLevel="0" max="3" min="3" style="0" width="11.86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F1" s="0" t="s">
        <v>4</v>
      </c>
    </row>
    <row r="2" customFormat="false" ht="15" hidden="false" customHeight="false" outlineLevel="0" collapsed="false">
      <c r="A2" s="4" t="s">
        <v>5</v>
      </c>
      <c r="B2" s="5" t="s">
        <v>6</v>
      </c>
      <c r="C2" s="4" t="s">
        <v>7</v>
      </c>
      <c r="D2" s="4" t="s">
        <v>5</v>
      </c>
      <c r="F2" s="0" t="s">
        <v>8</v>
      </c>
    </row>
    <row r="3" customFormat="false" ht="15" hidden="false" customHeight="false" outlineLevel="0" collapsed="false">
      <c r="A3" s="6" t="s">
        <v>9</v>
      </c>
      <c r="B3" s="7" t="s">
        <v>10</v>
      </c>
      <c r="C3" s="6" t="s">
        <v>11</v>
      </c>
      <c r="D3" s="8" t="s">
        <v>9</v>
      </c>
    </row>
    <row r="4" customFormat="false" ht="15" hidden="false" customHeight="false" outlineLevel="0" collapsed="false">
      <c r="A4" s="8" t="s">
        <v>12</v>
      </c>
      <c r="B4" s="7" t="s">
        <v>13</v>
      </c>
      <c r="C4" s="6" t="s">
        <v>14</v>
      </c>
    </row>
    <row r="5" customFormat="false" ht="15" hidden="false" customHeight="false" outlineLevel="0" collapsed="false">
      <c r="B5" s="9" t="s">
        <v>15</v>
      </c>
      <c r="C5" s="6" t="s">
        <v>16</v>
      </c>
    </row>
    <row r="6" customFormat="false" ht="15" hidden="false" customHeight="false" outlineLevel="0" collapsed="false">
      <c r="C6" s="6" t="s">
        <v>17</v>
      </c>
    </row>
    <row r="7" customFormat="false" ht="15" hidden="false" customHeight="false" outlineLevel="0" collapsed="false">
      <c r="C7" s="6" t="s">
        <v>18</v>
      </c>
    </row>
    <row r="8" customFormat="false" ht="15" hidden="false" customHeight="false" outlineLevel="0" collapsed="false">
      <c r="C8" s="6" t="s">
        <v>19</v>
      </c>
    </row>
    <row r="9" customFormat="false" ht="15" hidden="false" customHeight="false" outlineLevel="0" collapsed="false">
      <c r="C9" s="8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9" activeCellId="0" sqref="D9"/>
    </sheetView>
  </sheetViews>
  <sheetFormatPr defaultColWidth="10.59765625" defaultRowHeight="15" zeroHeight="false" outlineLevelRow="0" outlineLevelCol="0"/>
  <cols>
    <col collapsed="false" customWidth="true" hidden="false" outlineLevel="0" max="1" min="1" style="0" width="10.86"/>
    <col collapsed="false" customWidth="true" hidden="false" outlineLevel="0" max="2" min="2" style="0" width="20.43"/>
    <col collapsed="false" customWidth="true" hidden="false" outlineLevel="0" max="3" min="3" style="0" width="15.28"/>
  </cols>
  <sheetData>
    <row r="1" customFormat="false" ht="15" hidden="false" customHeight="false" outlineLevel="0" collapsed="false">
      <c r="A1" s="0" t="s">
        <v>21</v>
      </c>
      <c r="B1" s="0" t="s">
        <v>22</v>
      </c>
      <c r="C1" s="0" t="s">
        <v>23</v>
      </c>
    </row>
    <row r="2" customFormat="false" ht="15" hidden="false" customHeight="false" outlineLevel="0" collapsed="false">
      <c r="A2" s="0" t="s">
        <v>7</v>
      </c>
      <c r="B2" s="10" t="n">
        <v>1.063</v>
      </c>
      <c r="C2" s="0" t="n">
        <v>1</v>
      </c>
    </row>
    <row r="3" customFormat="false" ht="15" hidden="false" customHeight="false" outlineLevel="0" collapsed="false">
      <c r="A3" s="0" t="s">
        <v>11</v>
      </c>
      <c r="B3" s="10" t="n">
        <v>1.063</v>
      </c>
      <c r="C3" s="0" t="n">
        <v>1</v>
      </c>
    </row>
    <row r="4" customFormat="false" ht="15" hidden="false" customHeight="false" outlineLevel="0" collapsed="false">
      <c r="A4" s="0" t="s">
        <v>14</v>
      </c>
      <c r="B4" s="10" t="n">
        <v>8.755</v>
      </c>
      <c r="C4" s="0" t="n">
        <v>0</v>
      </c>
    </row>
    <row r="5" customFormat="false" ht="15" hidden="false" customHeight="false" outlineLevel="0" collapsed="false">
      <c r="A5" s="0" t="s">
        <v>16</v>
      </c>
      <c r="B5" s="10" t="n">
        <v>12.25</v>
      </c>
      <c r="C5" s="0" t="n">
        <v>0</v>
      </c>
    </row>
    <row r="6" customFormat="false" ht="15" hidden="false" customHeight="false" outlineLevel="0" collapsed="false">
      <c r="A6" s="0" t="s">
        <v>17</v>
      </c>
      <c r="B6" s="10" t="n">
        <v>12.25</v>
      </c>
      <c r="C6" s="0" t="n">
        <v>1</v>
      </c>
    </row>
    <row r="7" customFormat="false" ht="15" hidden="false" customHeight="false" outlineLevel="0" collapsed="false">
      <c r="A7" s="0" t="s">
        <v>18</v>
      </c>
      <c r="B7" s="10" t="n">
        <v>34.0277777777778</v>
      </c>
      <c r="C7" s="0" t="n">
        <v>1</v>
      </c>
    </row>
    <row r="8" customFormat="false" ht="15" hidden="false" customHeight="false" outlineLevel="0" collapsed="false">
      <c r="A8" s="0" t="s">
        <v>19</v>
      </c>
      <c r="B8" s="10" t="n">
        <v>7.245</v>
      </c>
      <c r="C8" s="0" t="n">
        <v>1</v>
      </c>
    </row>
    <row r="9" customFormat="false" ht="15" hidden="false" customHeight="false" outlineLevel="0" collapsed="false">
      <c r="A9" s="0" t="s">
        <v>20</v>
      </c>
      <c r="B9" s="10" t="n">
        <v>2.395</v>
      </c>
      <c r="C9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" activeCellId="0" sqref="G1"/>
    </sheetView>
  </sheetViews>
  <sheetFormatPr defaultColWidth="10.59765625" defaultRowHeight="15" zeroHeight="false" outlineLevelRow="0" outlineLevelCol="0"/>
  <cols>
    <col collapsed="false" customWidth="true" hidden="false" outlineLevel="0" max="2" min="2" style="0" width="25.29"/>
    <col collapsed="false" customWidth="true" hidden="false" outlineLevel="0" max="3" min="3" style="0" width="28.72"/>
    <col collapsed="false" customWidth="true" hidden="false" outlineLevel="0" max="4" min="4" style="0" width="18.86"/>
    <col collapsed="false" customWidth="true" hidden="false" outlineLevel="0" max="5" min="5" style="0" width="21.57"/>
    <col collapsed="false" customWidth="true" hidden="false" outlineLevel="0" max="6" min="6" style="0" width="18.71"/>
    <col collapsed="false" customWidth="true" hidden="false" outlineLevel="0" max="7" min="7" style="0" width="18.86"/>
  </cols>
  <sheetData>
    <row r="1" customFormat="false" ht="15" hidden="false" customHeight="false" outlineLevel="0" collapsed="false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3" t="s">
        <v>28</v>
      </c>
      <c r="I1" s="0" t="s">
        <v>4</v>
      </c>
    </row>
    <row r="2" customFormat="false" ht="15" hidden="false" customHeight="false" outlineLevel="0" collapsed="false">
      <c r="A2" s="1" t="s">
        <v>5</v>
      </c>
      <c r="B2" s="11" t="n">
        <v>1200000</v>
      </c>
      <c r="C2" s="11" t="n">
        <v>200000</v>
      </c>
      <c r="D2" s="11" t="n">
        <v>150000</v>
      </c>
      <c r="E2" s="11" t="n">
        <v>70000</v>
      </c>
      <c r="F2" s="12" t="n">
        <v>300000</v>
      </c>
      <c r="G2" s="13"/>
    </row>
    <row r="3" customFormat="false" ht="15" hidden="false" customHeight="false" outlineLevel="0" collapsed="false">
      <c r="A3" s="1" t="s">
        <v>9</v>
      </c>
      <c r="B3" s="11" t="n">
        <v>1100000</v>
      </c>
      <c r="C3" s="11" t="n">
        <v>120000</v>
      </c>
      <c r="D3" s="11" t="n">
        <v>200000</v>
      </c>
      <c r="E3" s="11" t="n">
        <v>90000</v>
      </c>
      <c r="F3" s="12" t="n">
        <v>250000</v>
      </c>
      <c r="G3" s="13"/>
    </row>
    <row r="4" customFormat="false" ht="15" hidden="false" customHeight="false" outlineLevel="0" collapsed="false">
      <c r="A4" s="1" t="s">
        <v>12</v>
      </c>
      <c r="B4" s="11" t="n">
        <v>1350000</v>
      </c>
      <c r="C4" s="11" t="n">
        <v>110000</v>
      </c>
      <c r="D4" s="11" t="n">
        <v>0</v>
      </c>
      <c r="E4" s="11" t="n">
        <v>0</v>
      </c>
      <c r="F4" s="12" t="n">
        <v>250000</v>
      </c>
      <c r="G4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4" activeCellId="0" sqref="B4"/>
    </sheetView>
  </sheetViews>
  <sheetFormatPr defaultColWidth="10.59765625" defaultRowHeight="13.8" zeroHeight="false" outlineLevelRow="0" outlineLevelCol="0"/>
  <cols>
    <col collapsed="false" customWidth="true" hidden="false" outlineLevel="0" max="2" min="2" style="0" width="22.71"/>
    <col collapsed="false" customWidth="true" hidden="false" outlineLevel="0" max="3" min="3" style="0" width="13.14"/>
  </cols>
  <sheetData>
    <row r="1" customFormat="false" ht="13.8" hidden="false" customHeight="false" outlineLevel="0" collapsed="false">
      <c r="A1" s="0" t="s">
        <v>0</v>
      </c>
      <c r="B1" s="0" t="s">
        <v>29</v>
      </c>
      <c r="D1" s="0" t="s">
        <v>30</v>
      </c>
      <c r="E1" s="0" t="s">
        <v>31</v>
      </c>
      <c r="F1" s="0" t="s">
        <v>32</v>
      </c>
      <c r="K1" s="0" t="s">
        <v>4</v>
      </c>
    </row>
    <row r="2" customFormat="false" ht="13.8" hidden="false" customHeight="false" outlineLevel="0" collapsed="false">
      <c r="A2" s="0" t="s">
        <v>5</v>
      </c>
      <c r="B2" s="0" t="n">
        <v>20</v>
      </c>
      <c r="F2" s="0" t="n">
        <v>1.05</v>
      </c>
    </row>
    <row r="3" customFormat="false" ht="13.8" hidden="false" customHeight="false" outlineLevel="0" collapsed="false">
      <c r="A3" s="0" t="s">
        <v>9</v>
      </c>
      <c r="B3" s="0" t="n">
        <v>18</v>
      </c>
      <c r="F3" s="0" t="n">
        <v>1.05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L7" activeCellId="0" sqref="L7"/>
    </sheetView>
  </sheetViews>
  <sheetFormatPr defaultColWidth="10.59765625" defaultRowHeight="13.8" zeroHeight="false" outlineLevelRow="0" outlineLevelCol="0"/>
  <cols>
    <col collapsed="false" customWidth="true" hidden="false" outlineLevel="0" max="4" min="4" style="0" width="14.55"/>
    <col collapsed="false" customWidth="false" hidden="false" outlineLevel="0" max="5" min="5" style="14" width="10.6"/>
    <col collapsed="false" customWidth="true" hidden="false" outlineLevel="0" max="6" min="6" style="0" width="15.28"/>
    <col collapsed="false" customWidth="true" hidden="false" outlineLevel="0" max="7" min="7" style="0" width="13.57"/>
    <col collapsed="false" customWidth="true" hidden="false" outlineLevel="0" max="8" min="8" style="0" width="20.86"/>
    <col collapsed="false" customWidth="true" hidden="false" outlineLevel="0" max="9" min="9" style="0" width="18.37"/>
  </cols>
  <sheetData>
    <row r="1" customFormat="false" ht="13.8" hidden="false" customHeight="false" outlineLevel="0" collapsed="false">
      <c r="A1" s="1" t="s">
        <v>21</v>
      </c>
      <c r="B1" s="2" t="s">
        <v>0</v>
      </c>
      <c r="C1" s="2" t="s">
        <v>1</v>
      </c>
      <c r="D1" s="3" t="s">
        <v>33</v>
      </c>
      <c r="G1" s="0" t="s">
        <v>34</v>
      </c>
      <c r="H1" s="0" t="s">
        <v>32</v>
      </c>
      <c r="I1" s="0" t="s">
        <v>35</v>
      </c>
    </row>
    <row r="2" customFormat="false" ht="13.8" hidden="false" customHeight="false" outlineLevel="0" collapsed="false">
      <c r="A2" s="5" t="s">
        <v>7</v>
      </c>
      <c r="B2" s="5" t="s">
        <v>5</v>
      </c>
      <c r="C2" s="15" t="s">
        <v>6</v>
      </c>
      <c r="D2" s="16" t="n">
        <f aca="false">G2*H2*I2</f>
        <v>25.3729245</v>
      </c>
      <c r="G2" s="13" t="n">
        <v>24164.69</v>
      </c>
      <c r="H2" s="17" t="n">
        <v>1.05</v>
      </c>
      <c r="I2" s="0" t="n">
        <v>0.001</v>
      </c>
    </row>
    <row r="3" customFormat="false" ht="13.8" hidden="false" customHeight="false" outlineLevel="0" collapsed="false">
      <c r="A3" s="7" t="s">
        <v>7</v>
      </c>
      <c r="B3" s="7" t="s">
        <v>5</v>
      </c>
      <c r="C3" s="0" t="s">
        <v>10</v>
      </c>
      <c r="D3" s="16" t="n">
        <f aca="false">G3*H3*I3</f>
        <v>82.609086</v>
      </c>
      <c r="G3" s="13" t="n">
        <v>78675.32</v>
      </c>
      <c r="H3" s="17" t="n">
        <v>1.05</v>
      </c>
      <c r="I3" s="0" t="n">
        <v>0.001</v>
      </c>
    </row>
    <row r="4" customFormat="false" ht="13.8" hidden="false" customHeight="false" outlineLevel="0" collapsed="false">
      <c r="A4" s="7" t="s">
        <v>7</v>
      </c>
      <c r="B4" s="7" t="s">
        <v>5</v>
      </c>
      <c r="C4" s="0" t="s">
        <v>13</v>
      </c>
      <c r="D4" s="16" t="n">
        <f aca="false">G4*H4*I4</f>
        <v>155.1006765</v>
      </c>
      <c r="G4" s="13" t="n">
        <v>147714.93</v>
      </c>
      <c r="H4" s="17" t="n">
        <v>1.05</v>
      </c>
      <c r="I4" s="0" t="n">
        <v>0.001</v>
      </c>
    </row>
    <row r="5" customFormat="false" ht="13.8" hidden="false" customHeight="false" outlineLevel="0" collapsed="false">
      <c r="A5" s="7" t="s">
        <v>7</v>
      </c>
      <c r="B5" s="9" t="s">
        <v>5</v>
      </c>
      <c r="C5" s="18" t="s">
        <v>15</v>
      </c>
      <c r="D5" s="16" t="n">
        <f aca="false">G5*H5*I5</f>
        <v>174.886782</v>
      </c>
      <c r="G5" s="13" t="n">
        <v>166558.84</v>
      </c>
      <c r="H5" s="17" t="n">
        <v>1.05</v>
      </c>
      <c r="I5" s="0" t="n">
        <v>0.001</v>
      </c>
    </row>
    <row r="6" customFormat="false" ht="13.8" hidden="false" customHeight="false" outlineLevel="0" collapsed="false">
      <c r="A6" s="7" t="s">
        <v>7</v>
      </c>
      <c r="B6" s="5" t="s">
        <v>9</v>
      </c>
      <c r="C6" s="15" t="s">
        <v>6</v>
      </c>
      <c r="D6" s="16" t="n">
        <f aca="false">G6*H6*I6</f>
        <v>115.8011715</v>
      </c>
      <c r="G6" s="13" t="n">
        <v>110286.83</v>
      </c>
      <c r="H6" s="17" t="n">
        <v>1.05</v>
      </c>
      <c r="I6" s="0" t="n">
        <v>0.001</v>
      </c>
    </row>
    <row r="7" customFormat="false" ht="13.8" hidden="false" customHeight="false" outlineLevel="0" collapsed="false">
      <c r="A7" s="7" t="s">
        <v>7</v>
      </c>
      <c r="B7" s="7" t="s">
        <v>9</v>
      </c>
      <c r="C7" s="0" t="s">
        <v>10</v>
      </c>
      <c r="D7" s="16" t="n">
        <f aca="false">G7*H7*I7</f>
        <v>85.763286</v>
      </c>
      <c r="G7" s="13" t="n">
        <v>81679.32</v>
      </c>
      <c r="H7" s="17" t="n">
        <v>1.05</v>
      </c>
      <c r="I7" s="0" t="n">
        <v>0.001</v>
      </c>
    </row>
    <row r="8" customFormat="false" ht="13.8" hidden="false" customHeight="false" outlineLevel="0" collapsed="false">
      <c r="A8" s="7" t="s">
        <v>7</v>
      </c>
      <c r="B8" s="7" t="s">
        <v>9</v>
      </c>
      <c r="C8" s="0" t="s">
        <v>13</v>
      </c>
      <c r="D8" s="16" t="n">
        <f aca="false">G8*H8*I8</f>
        <v>109.718406</v>
      </c>
      <c r="G8" s="13" t="n">
        <v>104493.72</v>
      </c>
      <c r="H8" s="17" t="n">
        <v>1.05</v>
      </c>
      <c r="I8" s="0" t="n">
        <v>0.001</v>
      </c>
    </row>
    <row r="9" customFormat="false" ht="13.8" hidden="false" customHeight="false" outlineLevel="0" collapsed="false">
      <c r="A9" s="7" t="s">
        <v>7</v>
      </c>
      <c r="B9" s="9" t="s">
        <v>9</v>
      </c>
      <c r="C9" s="18" t="s">
        <v>15</v>
      </c>
      <c r="D9" s="16" t="n">
        <f aca="false">G9*H9*I9</f>
        <v>107.014908</v>
      </c>
      <c r="G9" s="13" t="n">
        <v>101918.96</v>
      </c>
      <c r="H9" s="17" t="n">
        <v>1.05</v>
      </c>
      <c r="I9" s="0" t="n">
        <v>0.001</v>
      </c>
    </row>
    <row r="10" customFormat="false" ht="13.8" hidden="false" customHeight="false" outlineLevel="0" collapsed="false">
      <c r="A10" s="7" t="s">
        <v>7</v>
      </c>
      <c r="B10" s="5" t="s">
        <v>12</v>
      </c>
      <c r="C10" s="15" t="s">
        <v>6</v>
      </c>
      <c r="D10" s="16" t="n">
        <f aca="false">G10*H10*I10</f>
        <v>97.121787</v>
      </c>
      <c r="G10" s="13" t="n">
        <v>92496.94</v>
      </c>
      <c r="H10" s="17" t="n">
        <v>1.05</v>
      </c>
      <c r="I10" s="0" t="n">
        <v>0.001</v>
      </c>
    </row>
    <row r="11" customFormat="false" ht="13.8" hidden="false" customHeight="false" outlineLevel="0" collapsed="false">
      <c r="A11" s="7" t="s">
        <v>7</v>
      </c>
      <c r="B11" s="7" t="s">
        <v>12</v>
      </c>
      <c r="C11" s="0" t="s">
        <v>10</v>
      </c>
      <c r="D11" s="16" t="n">
        <f aca="false">G11*H11*I11</f>
        <v>48.5996805</v>
      </c>
      <c r="G11" s="13" t="n">
        <v>46285.41</v>
      </c>
      <c r="H11" s="17" t="n">
        <v>1.05</v>
      </c>
      <c r="I11" s="0" t="n">
        <v>0.001</v>
      </c>
    </row>
    <row r="12" customFormat="false" ht="13.8" hidden="false" customHeight="false" outlineLevel="0" collapsed="false">
      <c r="A12" s="7" t="s">
        <v>7</v>
      </c>
      <c r="B12" s="7" t="s">
        <v>12</v>
      </c>
      <c r="C12" s="0" t="s">
        <v>13</v>
      </c>
      <c r="D12" s="16" t="n">
        <f aca="false">G12*H12*I12</f>
        <v>136.95717</v>
      </c>
      <c r="G12" s="13" t="n">
        <v>130435.4</v>
      </c>
      <c r="H12" s="17" t="n">
        <v>1.05</v>
      </c>
      <c r="I12" s="0" t="n">
        <v>0.001</v>
      </c>
    </row>
    <row r="13" customFormat="false" ht="13.8" hidden="false" customHeight="false" outlineLevel="0" collapsed="false">
      <c r="A13" s="7" t="s">
        <v>7</v>
      </c>
      <c r="B13" s="9" t="s">
        <v>12</v>
      </c>
      <c r="C13" s="18" t="s">
        <v>15</v>
      </c>
      <c r="D13" s="16" t="n">
        <f aca="false">G13*H13*I13</f>
        <v>123.5691555</v>
      </c>
      <c r="G13" s="13" t="n">
        <v>117684.91</v>
      </c>
      <c r="H13" s="17" t="n">
        <v>1.05</v>
      </c>
      <c r="I13" s="0" t="n">
        <v>0.001</v>
      </c>
    </row>
    <row r="14" customFormat="false" ht="13.8" hidden="false" customHeight="false" outlineLevel="0" collapsed="false">
      <c r="A14" s="4" t="s">
        <v>11</v>
      </c>
      <c r="B14" s="15" t="s">
        <v>5</v>
      </c>
      <c r="C14" s="15" t="s">
        <v>6</v>
      </c>
      <c r="D14" s="16" t="n">
        <f aca="false">G14*H14*I14</f>
        <v>25.3729245</v>
      </c>
      <c r="G14" s="13" t="n">
        <v>24164.69</v>
      </c>
      <c r="H14" s="17" t="n">
        <v>1.05</v>
      </c>
      <c r="I14" s="0" t="n">
        <v>0.001</v>
      </c>
    </row>
    <row r="15" customFormat="false" ht="13.8" hidden="false" customHeight="false" outlineLevel="0" collapsed="false">
      <c r="A15" s="6" t="s">
        <v>11</v>
      </c>
      <c r="B15" s="0" t="s">
        <v>5</v>
      </c>
      <c r="C15" s="0" t="s">
        <v>10</v>
      </c>
      <c r="D15" s="16" t="n">
        <f aca="false">G15*H15*I15</f>
        <v>82.609086</v>
      </c>
      <c r="G15" s="13" t="n">
        <v>78675.32</v>
      </c>
      <c r="H15" s="17" t="n">
        <v>1.05</v>
      </c>
      <c r="I15" s="0" t="n">
        <v>0.001</v>
      </c>
    </row>
    <row r="16" customFormat="false" ht="13.8" hidden="false" customHeight="false" outlineLevel="0" collapsed="false">
      <c r="A16" s="6" t="s">
        <v>11</v>
      </c>
      <c r="B16" s="0" t="s">
        <v>5</v>
      </c>
      <c r="C16" s="0" t="s">
        <v>13</v>
      </c>
      <c r="D16" s="16" t="n">
        <f aca="false">G16*H16*I16</f>
        <v>155.1006765</v>
      </c>
      <c r="G16" s="13" t="n">
        <v>147714.93</v>
      </c>
      <c r="H16" s="17" t="n">
        <v>1.05</v>
      </c>
      <c r="I16" s="0" t="n">
        <v>0.001</v>
      </c>
    </row>
    <row r="17" customFormat="false" ht="13.8" hidden="false" customHeight="false" outlineLevel="0" collapsed="false">
      <c r="A17" s="6" t="s">
        <v>11</v>
      </c>
      <c r="B17" s="18" t="s">
        <v>5</v>
      </c>
      <c r="C17" s="18" t="s">
        <v>15</v>
      </c>
      <c r="D17" s="16" t="n">
        <f aca="false">G17*H17*I17</f>
        <v>174.886782</v>
      </c>
      <c r="G17" s="13" t="n">
        <v>166558.84</v>
      </c>
      <c r="H17" s="17" t="n">
        <v>1.05</v>
      </c>
      <c r="I17" s="0" t="n">
        <v>0.001</v>
      </c>
    </row>
    <row r="18" customFormat="false" ht="13.8" hidden="false" customHeight="false" outlineLevel="0" collapsed="false">
      <c r="A18" s="6" t="s">
        <v>11</v>
      </c>
      <c r="B18" s="15" t="s">
        <v>9</v>
      </c>
      <c r="C18" s="15" t="s">
        <v>6</v>
      </c>
      <c r="D18" s="16" t="n">
        <f aca="false">G18*H18*I18</f>
        <v>115.8011715</v>
      </c>
      <c r="G18" s="13" t="n">
        <v>110286.83</v>
      </c>
      <c r="H18" s="17" t="n">
        <v>1.05</v>
      </c>
      <c r="I18" s="0" t="n">
        <v>0.001</v>
      </c>
    </row>
    <row r="19" customFormat="false" ht="13.8" hidden="false" customHeight="false" outlineLevel="0" collapsed="false">
      <c r="A19" s="6" t="s">
        <v>11</v>
      </c>
      <c r="B19" s="0" t="s">
        <v>9</v>
      </c>
      <c r="C19" s="0" t="s">
        <v>10</v>
      </c>
      <c r="D19" s="16" t="n">
        <f aca="false">G19*H19*I19</f>
        <v>85.763286</v>
      </c>
      <c r="G19" s="13" t="n">
        <v>81679.32</v>
      </c>
      <c r="H19" s="17" t="n">
        <v>1.05</v>
      </c>
      <c r="I19" s="0" t="n">
        <v>0.001</v>
      </c>
    </row>
    <row r="20" customFormat="false" ht="13.8" hidden="false" customHeight="false" outlineLevel="0" collapsed="false">
      <c r="A20" s="6" t="s">
        <v>11</v>
      </c>
      <c r="B20" s="0" t="s">
        <v>9</v>
      </c>
      <c r="C20" s="0" t="s">
        <v>13</v>
      </c>
      <c r="D20" s="16" t="n">
        <f aca="false">G20*H20*I20</f>
        <v>109.718406</v>
      </c>
      <c r="G20" s="13" t="n">
        <v>104493.72</v>
      </c>
      <c r="H20" s="17" t="n">
        <v>1.05</v>
      </c>
      <c r="I20" s="0" t="n">
        <v>0.001</v>
      </c>
    </row>
    <row r="21" customFormat="false" ht="13.8" hidden="false" customHeight="false" outlineLevel="0" collapsed="false">
      <c r="A21" s="6" t="s">
        <v>11</v>
      </c>
      <c r="B21" s="18" t="s">
        <v>9</v>
      </c>
      <c r="C21" s="18" t="s">
        <v>15</v>
      </c>
      <c r="D21" s="16" t="n">
        <f aca="false">G21*H21*I21</f>
        <v>107.014908</v>
      </c>
      <c r="G21" s="13" t="n">
        <v>101918.96</v>
      </c>
      <c r="H21" s="17" t="n">
        <v>1.05</v>
      </c>
      <c r="I21" s="0" t="n">
        <v>0.001</v>
      </c>
    </row>
    <row r="22" customFormat="false" ht="13.8" hidden="false" customHeight="false" outlineLevel="0" collapsed="false">
      <c r="A22" s="6" t="s">
        <v>11</v>
      </c>
      <c r="B22" s="15" t="s">
        <v>12</v>
      </c>
      <c r="C22" s="15" t="s">
        <v>6</v>
      </c>
      <c r="D22" s="16" t="n">
        <f aca="false">G22*H22*I22</f>
        <v>97.121787</v>
      </c>
      <c r="G22" s="13" t="n">
        <v>92496.94</v>
      </c>
      <c r="H22" s="17" t="n">
        <v>1.05</v>
      </c>
      <c r="I22" s="0" t="n">
        <v>0.001</v>
      </c>
    </row>
    <row r="23" customFormat="false" ht="13.8" hidden="false" customHeight="false" outlineLevel="0" collapsed="false">
      <c r="A23" s="6" t="s">
        <v>11</v>
      </c>
      <c r="B23" s="0" t="s">
        <v>12</v>
      </c>
      <c r="C23" s="0" t="s">
        <v>10</v>
      </c>
      <c r="D23" s="16" t="n">
        <f aca="false">G23*H23*I23</f>
        <v>48.5996805</v>
      </c>
      <c r="G23" s="13" t="n">
        <v>46285.41</v>
      </c>
      <c r="H23" s="17" t="n">
        <v>1.05</v>
      </c>
      <c r="I23" s="0" t="n">
        <v>0.001</v>
      </c>
    </row>
    <row r="24" customFormat="false" ht="13.8" hidden="false" customHeight="false" outlineLevel="0" collapsed="false">
      <c r="A24" s="6" t="s">
        <v>11</v>
      </c>
      <c r="B24" s="0" t="s">
        <v>12</v>
      </c>
      <c r="C24" s="0" t="s">
        <v>13</v>
      </c>
      <c r="D24" s="16" t="n">
        <f aca="false">G24*H24*I24</f>
        <v>136.95717</v>
      </c>
      <c r="G24" s="13" t="n">
        <v>130435.4</v>
      </c>
      <c r="H24" s="17" t="n">
        <v>1.05</v>
      </c>
      <c r="I24" s="0" t="n">
        <v>0.001</v>
      </c>
    </row>
    <row r="25" customFormat="false" ht="13.8" hidden="false" customHeight="false" outlineLevel="0" collapsed="false">
      <c r="A25" s="8" t="s">
        <v>11</v>
      </c>
      <c r="B25" s="18" t="s">
        <v>12</v>
      </c>
      <c r="C25" s="18" t="s">
        <v>15</v>
      </c>
      <c r="D25" s="16" t="n">
        <f aca="false">G25*H25*I25</f>
        <v>123.5691555</v>
      </c>
      <c r="G25" s="13" t="n">
        <v>117684.91</v>
      </c>
      <c r="H25" s="17" t="n">
        <v>1.05</v>
      </c>
      <c r="I25" s="0" t="n">
        <v>0.001</v>
      </c>
    </row>
    <row r="26" customFormat="false" ht="13.8" hidden="false" customHeight="false" outlineLevel="0" collapsed="false">
      <c r="A26" s="7" t="s">
        <v>14</v>
      </c>
      <c r="B26" s="5" t="s">
        <v>5</v>
      </c>
      <c r="C26" s="15" t="s">
        <v>6</v>
      </c>
      <c r="D26" s="16" t="n">
        <f aca="false">G26*H26*I26</f>
        <v>24.16469</v>
      </c>
      <c r="G26" s="13" t="n">
        <v>24164.69</v>
      </c>
      <c r="H26" s="17" t="n">
        <v>1</v>
      </c>
      <c r="I26" s="0" t="n">
        <v>0.001</v>
      </c>
    </row>
    <row r="27" customFormat="false" ht="13.8" hidden="false" customHeight="false" outlineLevel="0" collapsed="false">
      <c r="A27" s="7" t="s">
        <v>14</v>
      </c>
      <c r="B27" s="7" t="s">
        <v>5</v>
      </c>
      <c r="C27" s="0" t="s">
        <v>10</v>
      </c>
      <c r="D27" s="16" t="n">
        <f aca="false">G27*H27*I27</f>
        <v>78.67532</v>
      </c>
      <c r="G27" s="13" t="n">
        <v>78675.32</v>
      </c>
      <c r="H27" s="17" t="n">
        <v>1</v>
      </c>
      <c r="I27" s="0" t="n">
        <v>0.001</v>
      </c>
    </row>
    <row r="28" customFormat="false" ht="13.8" hidden="false" customHeight="false" outlineLevel="0" collapsed="false">
      <c r="A28" s="7" t="s">
        <v>14</v>
      </c>
      <c r="B28" s="7" t="s">
        <v>5</v>
      </c>
      <c r="C28" s="0" t="s">
        <v>13</v>
      </c>
      <c r="D28" s="16" t="n">
        <f aca="false">G28*H28*I28</f>
        <v>147.71493</v>
      </c>
      <c r="G28" s="13" t="n">
        <v>147714.93</v>
      </c>
      <c r="H28" s="17" t="n">
        <v>1</v>
      </c>
      <c r="I28" s="0" t="n">
        <v>0.001</v>
      </c>
    </row>
    <row r="29" customFormat="false" ht="13.8" hidden="false" customHeight="false" outlineLevel="0" collapsed="false">
      <c r="A29" s="7" t="s">
        <v>14</v>
      </c>
      <c r="B29" s="9" t="s">
        <v>5</v>
      </c>
      <c r="C29" s="18" t="s">
        <v>15</v>
      </c>
      <c r="D29" s="16" t="n">
        <f aca="false">G29*H29*I29</f>
        <v>166.55884</v>
      </c>
      <c r="G29" s="13" t="n">
        <v>166558.84</v>
      </c>
      <c r="H29" s="17" t="n">
        <v>1</v>
      </c>
      <c r="I29" s="0" t="n">
        <v>0.001</v>
      </c>
    </row>
    <row r="30" customFormat="false" ht="13.8" hidden="false" customHeight="false" outlineLevel="0" collapsed="false">
      <c r="A30" s="7" t="s">
        <v>14</v>
      </c>
      <c r="B30" s="5" t="s">
        <v>9</v>
      </c>
      <c r="C30" s="15" t="s">
        <v>6</v>
      </c>
      <c r="D30" s="16" t="n">
        <f aca="false">G30*H30*I30</f>
        <v>110.28683</v>
      </c>
      <c r="G30" s="13" t="n">
        <v>110286.83</v>
      </c>
      <c r="H30" s="17" t="n">
        <v>1</v>
      </c>
      <c r="I30" s="0" t="n">
        <v>0.001</v>
      </c>
    </row>
    <row r="31" customFormat="false" ht="13.8" hidden="false" customHeight="false" outlineLevel="0" collapsed="false">
      <c r="A31" s="7" t="s">
        <v>14</v>
      </c>
      <c r="B31" s="7" t="s">
        <v>9</v>
      </c>
      <c r="C31" s="0" t="s">
        <v>10</v>
      </c>
      <c r="D31" s="16" t="n">
        <f aca="false">G31*H31*I31</f>
        <v>81.67932</v>
      </c>
      <c r="G31" s="13" t="n">
        <v>81679.32</v>
      </c>
      <c r="H31" s="17" t="n">
        <v>1</v>
      </c>
      <c r="I31" s="0" t="n">
        <v>0.001</v>
      </c>
    </row>
    <row r="32" customFormat="false" ht="13.8" hidden="false" customHeight="false" outlineLevel="0" collapsed="false">
      <c r="A32" s="7" t="s">
        <v>14</v>
      </c>
      <c r="B32" s="7" t="s">
        <v>9</v>
      </c>
      <c r="C32" s="0" t="s">
        <v>13</v>
      </c>
      <c r="D32" s="16" t="n">
        <f aca="false">G32*H32*I32</f>
        <v>104.49372</v>
      </c>
      <c r="G32" s="13" t="n">
        <v>104493.72</v>
      </c>
      <c r="H32" s="17" t="n">
        <v>1</v>
      </c>
      <c r="I32" s="0" t="n">
        <v>0.001</v>
      </c>
    </row>
    <row r="33" customFormat="false" ht="13.8" hidden="false" customHeight="false" outlineLevel="0" collapsed="false">
      <c r="A33" s="7" t="s">
        <v>14</v>
      </c>
      <c r="B33" s="9" t="s">
        <v>9</v>
      </c>
      <c r="C33" s="18" t="s">
        <v>15</v>
      </c>
      <c r="D33" s="16" t="n">
        <f aca="false">G33*H33*I33</f>
        <v>101.91896</v>
      </c>
      <c r="G33" s="13" t="n">
        <v>101918.96</v>
      </c>
      <c r="H33" s="17" t="n">
        <v>1</v>
      </c>
      <c r="I33" s="0" t="n">
        <v>0.001</v>
      </c>
    </row>
    <row r="34" customFormat="false" ht="13.8" hidden="false" customHeight="false" outlineLevel="0" collapsed="false">
      <c r="A34" s="7" t="s">
        <v>14</v>
      </c>
      <c r="B34" s="5" t="s">
        <v>12</v>
      </c>
      <c r="C34" s="15" t="s">
        <v>6</v>
      </c>
      <c r="D34" s="16" t="n">
        <f aca="false">G34*H34*I34</f>
        <v>92.49694</v>
      </c>
      <c r="G34" s="13" t="n">
        <v>92496.94</v>
      </c>
      <c r="H34" s="17" t="n">
        <v>1</v>
      </c>
      <c r="I34" s="0" t="n">
        <v>0.001</v>
      </c>
    </row>
    <row r="35" customFormat="false" ht="13.8" hidden="false" customHeight="false" outlineLevel="0" collapsed="false">
      <c r="A35" s="7" t="s">
        <v>14</v>
      </c>
      <c r="B35" s="7" t="s">
        <v>12</v>
      </c>
      <c r="C35" s="0" t="s">
        <v>10</v>
      </c>
      <c r="D35" s="16" t="n">
        <f aca="false">G35*H35*I35</f>
        <v>46.28541</v>
      </c>
      <c r="G35" s="13" t="n">
        <v>46285.41</v>
      </c>
      <c r="H35" s="17" t="n">
        <v>1</v>
      </c>
      <c r="I35" s="0" t="n">
        <v>0.001</v>
      </c>
    </row>
    <row r="36" customFormat="false" ht="13.8" hidden="false" customHeight="false" outlineLevel="0" collapsed="false">
      <c r="A36" s="7" t="s">
        <v>14</v>
      </c>
      <c r="B36" s="7" t="s">
        <v>12</v>
      </c>
      <c r="C36" s="0" t="s">
        <v>13</v>
      </c>
      <c r="D36" s="16" t="n">
        <f aca="false">G36*H36*I36</f>
        <v>130.4354</v>
      </c>
      <c r="G36" s="13" t="n">
        <v>130435.4</v>
      </c>
      <c r="H36" s="17" t="n">
        <v>1</v>
      </c>
      <c r="I36" s="0" t="n">
        <v>0.001</v>
      </c>
    </row>
    <row r="37" customFormat="false" ht="13.8" hidden="false" customHeight="false" outlineLevel="0" collapsed="false">
      <c r="A37" s="9" t="s">
        <v>14</v>
      </c>
      <c r="B37" s="9" t="s">
        <v>12</v>
      </c>
      <c r="C37" s="18" t="s">
        <v>15</v>
      </c>
      <c r="D37" s="16" t="n">
        <f aca="false">G37*H37*I37</f>
        <v>117.68491</v>
      </c>
      <c r="G37" s="13" t="n">
        <v>117684.91</v>
      </c>
      <c r="H37" s="17" t="n">
        <v>1</v>
      </c>
      <c r="I37" s="0" t="n">
        <v>0.001</v>
      </c>
    </row>
    <row r="38" customFormat="false" ht="13.8" hidden="false" customHeight="false" outlineLevel="0" collapsed="false">
      <c r="A38" s="5" t="s">
        <v>16</v>
      </c>
      <c r="B38" s="5" t="s">
        <v>5</v>
      </c>
      <c r="C38" s="15" t="s">
        <v>6</v>
      </c>
      <c r="D38" s="16" t="n">
        <f aca="false">G38*H38*I38</f>
        <v>24.16469</v>
      </c>
      <c r="G38" s="13" t="n">
        <v>24164.69</v>
      </c>
      <c r="H38" s="17" t="n">
        <v>1</v>
      </c>
      <c r="I38" s="0" t="n">
        <v>0.001</v>
      </c>
    </row>
    <row r="39" customFormat="false" ht="13.8" hidden="false" customHeight="false" outlineLevel="0" collapsed="false">
      <c r="A39" s="7" t="s">
        <v>16</v>
      </c>
      <c r="B39" s="7" t="s">
        <v>5</v>
      </c>
      <c r="C39" s="0" t="s">
        <v>10</v>
      </c>
      <c r="D39" s="16" t="n">
        <f aca="false">G39*H39*I39</f>
        <v>78.67532</v>
      </c>
      <c r="G39" s="13" t="n">
        <v>78675.32</v>
      </c>
      <c r="H39" s="17" t="n">
        <v>1</v>
      </c>
      <c r="I39" s="0" t="n">
        <v>0.001</v>
      </c>
    </row>
    <row r="40" customFormat="false" ht="13.8" hidden="false" customHeight="false" outlineLevel="0" collapsed="false">
      <c r="A40" s="7" t="s">
        <v>16</v>
      </c>
      <c r="B40" s="7" t="s">
        <v>5</v>
      </c>
      <c r="C40" s="0" t="s">
        <v>13</v>
      </c>
      <c r="D40" s="16" t="n">
        <f aca="false">G40*H40*I40</f>
        <v>147.71493</v>
      </c>
      <c r="G40" s="13" t="n">
        <v>147714.93</v>
      </c>
      <c r="H40" s="17" t="n">
        <v>1</v>
      </c>
      <c r="I40" s="0" t="n">
        <v>0.001</v>
      </c>
    </row>
    <row r="41" customFormat="false" ht="13.8" hidden="false" customHeight="false" outlineLevel="0" collapsed="false">
      <c r="A41" s="7" t="s">
        <v>16</v>
      </c>
      <c r="B41" s="9" t="s">
        <v>5</v>
      </c>
      <c r="C41" s="18" t="s">
        <v>15</v>
      </c>
      <c r="D41" s="16" t="n">
        <f aca="false">G41*H41*I41</f>
        <v>166.55884</v>
      </c>
      <c r="G41" s="13" t="n">
        <v>166558.84</v>
      </c>
      <c r="H41" s="17" t="n">
        <v>1</v>
      </c>
      <c r="I41" s="0" t="n">
        <v>0.001</v>
      </c>
    </row>
    <row r="42" customFormat="false" ht="13.8" hidden="false" customHeight="false" outlineLevel="0" collapsed="false">
      <c r="A42" s="7" t="s">
        <v>16</v>
      </c>
      <c r="B42" s="5" t="s">
        <v>9</v>
      </c>
      <c r="C42" s="15" t="s">
        <v>6</v>
      </c>
      <c r="D42" s="16" t="n">
        <f aca="false">G42*H42*I42</f>
        <v>110.28683</v>
      </c>
      <c r="G42" s="13" t="n">
        <v>110286.83</v>
      </c>
      <c r="H42" s="17" t="n">
        <v>1</v>
      </c>
      <c r="I42" s="0" t="n">
        <v>0.001</v>
      </c>
    </row>
    <row r="43" customFormat="false" ht="13.8" hidden="false" customHeight="false" outlineLevel="0" collapsed="false">
      <c r="A43" s="7" t="s">
        <v>16</v>
      </c>
      <c r="B43" s="7" t="s">
        <v>9</v>
      </c>
      <c r="C43" s="0" t="s">
        <v>10</v>
      </c>
      <c r="D43" s="16" t="n">
        <f aca="false">G43*H43*I43</f>
        <v>81.67932</v>
      </c>
      <c r="G43" s="13" t="n">
        <v>81679.32</v>
      </c>
      <c r="H43" s="17" t="n">
        <v>1</v>
      </c>
      <c r="I43" s="0" t="n">
        <v>0.001</v>
      </c>
    </row>
    <row r="44" customFormat="false" ht="13.8" hidden="false" customHeight="false" outlineLevel="0" collapsed="false">
      <c r="A44" s="7" t="s">
        <v>16</v>
      </c>
      <c r="B44" s="7" t="s">
        <v>9</v>
      </c>
      <c r="C44" s="0" t="s">
        <v>13</v>
      </c>
      <c r="D44" s="16" t="n">
        <f aca="false">G44*H44*I44</f>
        <v>104.49372</v>
      </c>
      <c r="G44" s="13" t="n">
        <v>104493.72</v>
      </c>
      <c r="H44" s="17" t="n">
        <v>1</v>
      </c>
      <c r="I44" s="0" t="n">
        <v>0.001</v>
      </c>
    </row>
    <row r="45" customFormat="false" ht="13.8" hidden="false" customHeight="false" outlineLevel="0" collapsed="false">
      <c r="A45" s="7" t="s">
        <v>16</v>
      </c>
      <c r="B45" s="9" t="s">
        <v>9</v>
      </c>
      <c r="C45" s="18" t="s">
        <v>15</v>
      </c>
      <c r="D45" s="16" t="n">
        <f aca="false">G45*H45*I45</f>
        <v>101.91896</v>
      </c>
      <c r="G45" s="13" t="n">
        <v>101918.96</v>
      </c>
      <c r="H45" s="17" t="n">
        <v>1</v>
      </c>
      <c r="I45" s="0" t="n">
        <v>0.001</v>
      </c>
    </row>
    <row r="46" customFormat="false" ht="13.8" hidden="false" customHeight="false" outlineLevel="0" collapsed="false">
      <c r="A46" s="7" t="s">
        <v>16</v>
      </c>
      <c r="B46" s="5" t="s">
        <v>12</v>
      </c>
      <c r="C46" s="15" t="s">
        <v>6</v>
      </c>
      <c r="D46" s="16" t="n">
        <f aca="false">G46*H46*I46</f>
        <v>92.49694</v>
      </c>
      <c r="G46" s="13" t="n">
        <v>92496.94</v>
      </c>
      <c r="H46" s="17" t="n">
        <v>1</v>
      </c>
      <c r="I46" s="0" t="n">
        <v>0.001</v>
      </c>
    </row>
    <row r="47" customFormat="false" ht="13.8" hidden="false" customHeight="false" outlineLevel="0" collapsed="false">
      <c r="A47" s="7" t="s">
        <v>16</v>
      </c>
      <c r="B47" s="7" t="s">
        <v>12</v>
      </c>
      <c r="C47" s="0" t="s">
        <v>10</v>
      </c>
      <c r="D47" s="16" t="n">
        <f aca="false">G47*H47*I47</f>
        <v>46.28541</v>
      </c>
      <c r="G47" s="13" t="n">
        <v>46285.41</v>
      </c>
      <c r="H47" s="17" t="n">
        <v>1</v>
      </c>
      <c r="I47" s="0" t="n">
        <v>0.001</v>
      </c>
    </row>
    <row r="48" customFormat="false" ht="13.8" hidden="false" customHeight="false" outlineLevel="0" collapsed="false">
      <c r="A48" s="7" t="s">
        <v>16</v>
      </c>
      <c r="B48" s="7" t="s">
        <v>12</v>
      </c>
      <c r="C48" s="0" t="s">
        <v>13</v>
      </c>
      <c r="D48" s="16" t="n">
        <f aca="false">G48*H48*I48</f>
        <v>130.4354</v>
      </c>
      <c r="G48" s="13" t="n">
        <v>130435.4</v>
      </c>
      <c r="H48" s="17" t="n">
        <v>1</v>
      </c>
      <c r="I48" s="0" t="n">
        <v>0.001</v>
      </c>
    </row>
    <row r="49" customFormat="false" ht="13.8" hidden="false" customHeight="false" outlineLevel="0" collapsed="false">
      <c r="A49" s="9" t="s">
        <v>16</v>
      </c>
      <c r="B49" s="9" t="s">
        <v>12</v>
      </c>
      <c r="C49" s="18" t="s">
        <v>15</v>
      </c>
      <c r="D49" s="16" t="n">
        <f aca="false">G49*H49*I49</f>
        <v>117.68491</v>
      </c>
      <c r="G49" s="13" t="n">
        <v>117684.91</v>
      </c>
      <c r="H49" s="17" t="n">
        <v>1</v>
      </c>
      <c r="I49" s="0" t="n">
        <v>0.001</v>
      </c>
    </row>
    <row r="50" customFormat="false" ht="13.8" hidden="false" customHeight="false" outlineLevel="0" collapsed="false">
      <c r="A50" s="5" t="s">
        <v>17</v>
      </c>
      <c r="B50" s="5" t="s">
        <v>5</v>
      </c>
      <c r="C50" s="15" t="s">
        <v>6</v>
      </c>
      <c r="D50" s="16" t="n">
        <f aca="false">G50*H50*I50</f>
        <v>25.3729245</v>
      </c>
      <c r="G50" s="13" t="n">
        <v>24164.69</v>
      </c>
      <c r="H50" s="17" t="n">
        <v>1.05</v>
      </c>
      <c r="I50" s="0" t="n">
        <v>0.001</v>
      </c>
    </row>
    <row r="51" customFormat="false" ht="13.8" hidden="false" customHeight="false" outlineLevel="0" collapsed="false">
      <c r="A51" s="7" t="s">
        <v>17</v>
      </c>
      <c r="B51" s="7" t="s">
        <v>5</v>
      </c>
      <c r="C51" s="0" t="s">
        <v>10</v>
      </c>
      <c r="D51" s="16" t="n">
        <f aca="false">G51*H51*I51</f>
        <v>82.609086</v>
      </c>
      <c r="G51" s="13" t="n">
        <v>78675.32</v>
      </c>
      <c r="H51" s="17" t="n">
        <v>1.05</v>
      </c>
      <c r="I51" s="0" t="n">
        <v>0.001</v>
      </c>
    </row>
    <row r="52" customFormat="false" ht="13.8" hidden="false" customHeight="false" outlineLevel="0" collapsed="false">
      <c r="A52" s="7" t="s">
        <v>17</v>
      </c>
      <c r="B52" s="7" t="s">
        <v>5</v>
      </c>
      <c r="C52" s="0" t="s">
        <v>13</v>
      </c>
      <c r="D52" s="16" t="n">
        <f aca="false">G52*H52*I52</f>
        <v>155.1006765</v>
      </c>
      <c r="G52" s="13" t="n">
        <v>147714.93</v>
      </c>
      <c r="H52" s="17" t="n">
        <v>1.05</v>
      </c>
      <c r="I52" s="0" t="n">
        <v>0.001</v>
      </c>
    </row>
    <row r="53" customFormat="false" ht="13.8" hidden="false" customHeight="false" outlineLevel="0" collapsed="false">
      <c r="A53" s="7" t="s">
        <v>17</v>
      </c>
      <c r="B53" s="9" t="s">
        <v>5</v>
      </c>
      <c r="C53" s="18" t="s">
        <v>15</v>
      </c>
      <c r="D53" s="16" t="n">
        <f aca="false">G53*H53*I53</f>
        <v>174.886782</v>
      </c>
      <c r="G53" s="13" t="n">
        <v>166558.84</v>
      </c>
      <c r="H53" s="17" t="n">
        <v>1.05</v>
      </c>
      <c r="I53" s="0" t="n">
        <v>0.001</v>
      </c>
    </row>
    <row r="54" customFormat="false" ht="13.8" hidden="false" customHeight="false" outlineLevel="0" collapsed="false">
      <c r="A54" s="7" t="s">
        <v>17</v>
      </c>
      <c r="B54" s="5" t="s">
        <v>9</v>
      </c>
      <c r="C54" s="15" t="s">
        <v>6</v>
      </c>
      <c r="D54" s="16" t="n">
        <f aca="false">G54*H54*I54</f>
        <v>115.8011715</v>
      </c>
      <c r="G54" s="13" t="n">
        <v>110286.83</v>
      </c>
      <c r="H54" s="17" t="n">
        <v>1.05</v>
      </c>
      <c r="I54" s="0" t="n">
        <v>0.001</v>
      </c>
    </row>
    <row r="55" customFormat="false" ht="13.8" hidden="false" customHeight="false" outlineLevel="0" collapsed="false">
      <c r="A55" s="7" t="s">
        <v>17</v>
      </c>
      <c r="B55" s="7" t="s">
        <v>9</v>
      </c>
      <c r="C55" s="0" t="s">
        <v>10</v>
      </c>
      <c r="D55" s="16" t="n">
        <f aca="false">G55*H55*I55</f>
        <v>85.763286</v>
      </c>
      <c r="G55" s="13" t="n">
        <v>81679.32</v>
      </c>
      <c r="H55" s="17" t="n">
        <v>1.05</v>
      </c>
      <c r="I55" s="0" t="n">
        <v>0.001</v>
      </c>
    </row>
    <row r="56" customFormat="false" ht="13.8" hidden="false" customHeight="false" outlineLevel="0" collapsed="false">
      <c r="A56" s="7" t="s">
        <v>17</v>
      </c>
      <c r="B56" s="7" t="s">
        <v>9</v>
      </c>
      <c r="C56" s="0" t="s">
        <v>13</v>
      </c>
      <c r="D56" s="16" t="n">
        <f aca="false">G56*H56*I56</f>
        <v>109.718406</v>
      </c>
      <c r="G56" s="13" t="n">
        <v>104493.72</v>
      </c>
      <c r="H56" s="17" t="n">
        <v>1.05</v>
      </c>
      <c r="I56" s="0" t="n">
        <v>0.001</v>
      </c>
    </row>
    <row r="57" customFormat="false" ht="13.8" hidden="false" customHeight="false" outlineLevel="0" collapsed="false">
      <c r="A57" s="7" t="s">
        <v>17</v>
      </c>
      <c r="B57" s="9" t="s">
        <v>9</v>
      </c>
      <c r="C57" s="18" t="s">
        <v>15</v>
      </c>
      <c r="D57" s="16" t="n">
        <f aca="false">G57*H57*I57</f>
        <v>107.014908</v>
      </c>
      <c r="G57" s="13" t="n">
        <v>101918.96</v>
      </c>
      <c r="H57" s="17" t="n">
        <v>1.05</v>
      </c>
      <c r="I57" s="0" t="n">
        <v>0.001</v>
      </c>
    </row>
    <row r="58" customFormat="false" ht="13.8" hidden="false" customHeight="false" outlineLevel="0" collapsed="false">
      <c r="A58" s="7" t="s">
        <v>17</v>
      </c>
      <c r="B58" s="5" t="s">
        <v>12</v>
      </c>
      <c r="C58" s="15" t="s">
        <v>6</v>
      </c>
      <c r="D58" s="16" t="n">
        <f aca="false">G58*H58*I58</f>
        <v>97.121787</v>
      </c>
      <c r="G58" s="13" t="n">
        <v>92496.94</v>
      </c>
      <c r="H58" s="17" t="n">
        <v>1.05</v>
      </c>
      <c r="I58" s="0" t="n">
        <v>0.001</v>
      </c>
    </row>
    <row r="59" customFormat="false" ht="13.8" hidden="false" customHeight="false" outlineLevel="0" collapsed="false">
      <c r="A59" s="7" t="s">
        <v>17</v>
      </c>
      <c r="B59" s="7" t="s">
        <v>12</v>
      </c>
      <c r="C59" s="0" t="s">
        <v>10</v>
      </c>
      <c r="D59" s="16" t="n">
        <f aca="false">G59*H59*I59</f>
        <v>48.5996805</v>
      </c>
      <c r="G59" s="13" t="n">
        <v>46285.41</v>
      </c>
      <c r="H59" s="17" t="n">
        <v>1.05</v>
      </c>
      <c r="I59" s="0" t="n">
        <v>0.001</v>
      </c>
    </row>
    <row r="60" customFormat="false" ht="13.8" hidden="false" customHeight="false" outlineLevel="0" collapsed="false">
      <c r="A60" s="7" t="s">
        <v>17</v>
      </c>
      <c r="B60" s="7" t="s">
        <v>12</v>
      </c>
      <c r="C60" s="0" t="s">
        <v>13</v>
      </c>
      <c r="D60" s="16" t="n">
        <f aca="false">G60*H60*I60</f>
        <v>136.95717</v>
      </c>
      <c r="G60" s="13" t="n">
        <v>130435.4</v>
      </c>
      <c r="H60" s="17" t="n">
        <v>1.05</v>
      </c>
      <c r="I60" s="0" t="n">
        <v>0.001</v>
      </c>
    </row>
    <row r="61" customFormat="false" ht="13.8" hidden="false" customHeight="false" outlineLevel="0" collapsed="false">
      <c r="A61" s="9" t="s">
        <v>17</v>
      </c>
      <c r="B61" s="9" t="s">
        <v>12</v>
      </c>
      <c r="C61" s="18" t="s">
        <v>15</v>
      </c>
      <c r="D61" s="16" t="n">
        <f aca="false">G61*H61*I61</f>
        <v>123.5691555</v>
      </c>
      <c r="G61" s="13" t="n">
        <v>117684.91</v>
      </c>
      <c r="H61" s="17" t="n">
        <v>1.05</v>
      </c>
      <c r="I61" s="0" t="n">
        <v>0.001</v>
      </c>
    </row>
    <row r="62" customFormat="false" ht="13.8" hidden="false" customHeight="false" outlineLevel="0" collapsed="false">
      <c r="A62" s="5" t="s">
        <v>18</v>
      </c>
      <c r="B62" s="5" t="s">
        <v>5</v>
      </c>
      <c r="C62" s="15" t="s">
        <v>6</v>
      </c>
      <c r="D62" s="16" t="n">
        <f aca="false">G62*H62*I62</f>
        <v>25.3729245</v>
      </c>
      <c r="G62" s="13" t="n">
        <v>24164.69</v>
      </c>
      <c r="H62" s="17" t="n">
        <v>1.05</v>
      </c>
      <c r="I62" s="0" t="n">
        <v>0.001</v>
      </c>
    </row>
    <row r="63" customFormat="false" ht="13.8" hidden="false" customHeight="false" outlineLevel="0" collapsed="false">
      <c r="A63" s="7" t="s">
        <v>18</v>
      </c>
      <c r="B63" s="7" t="s">
        <v>5</v>
      </c>
      <c r="C63" s="0" t="s">
        <v>10</v>
      </c>
      <c r="D63" s="16" t="n">
        <f aca="false">G63*H63*I63</f>
        <v>82.609086</v>
      </c>
      <c r="G63" s="13" t="n">
        <v>78675.32</v>
      </c>
      <c r="H63" s="17" t="n">
        <v>1.05</v>
      </c>
      <c r="I63" s="0" t="n">
        <v>0.001</v>
      </c>
    </row>
    <row r="64" customFormat="false" ht="13.8" hidden="false" customHeight="false" outlineLevel="0" collapsed="false">
      <c r="A64" s="7" t="s">
        <v>18</v>
      </c>
      <c r="B64" s="7" t="s">
        <v>5</v>
      </c>
      <c r="C64" s="0" t="s">
        <v>13</v>
      </c>
      <c r="D64" s="16" t="n">
        <f aca="false">G64*H64*I64</f>
        <v>155.1006765</v>
      </c>
      <c r="G64" s="13" t="n">
        <v>147714.93</v>
      </c>
      <c r="H64" s="17" t="n">
        <v>1.05</v>
      </c>
      <c r="I64" s="0" t="n">
        <v>0.001</v>
      </c>
    </row>
    <row r="65" customFormat="false" ht="13.8" hidden="false" customHeight="false" outlineLevel="0" collapsed="false">
      <c r="A65" s="7" t="s">
        <v>18</v>
      </c>
      <c r="B65" s="9" t="s">
        <v>5</v>
      </c>
      <c r="C65" s="18" t="s">
        <v>15</v>
      </c>
      <c r="D65" s="16" t="n">
        <f aca="false">G65*H65*I65</f>
        <v>174.886782</v>
      </c>
      <c r="G65" s="13" t="n">
        <v>166558.84</v>
      </c>
      <c r="H65" s="17" t="n">
        <v>1.05</v>
      </c>
      <c r="I65" s="0" t="n">
        <v>0.001</v>
      </c>
    </row>
    <row r="66" customFormat="false" ht="13.8" hidden="false" customHeight="false" outlineLevel="0" collapsed="false">
      <c r="A66" s="7" t="s">
        <v>18</v>
      </c>
      <c r="B66" s="5" t="s">
        <v>9</v>
      </c>
      <c r="C66" s="15" t="s">
        <v>6</v>
      </c>
      <c r="D66" s="16" t="n">
        <f aca="false">G66*H66*I66</f>
        <v>115.8011715</v>
      </c>
      <c r="G66" s="13" t="n">
        <v>110286.83</v>
      </c>
      <c r="H66" s="17" t="n">
        <v>1.05</v>
      </c>
      <c r="I66" s="0" t="n">
        <v>0.001</v>
      </c>
    </row>
    <row r="67" customFormat="false" ht="13.8" hidden="false" customHeight="false" outlineLevel="0" collapsed="false">
      <c r="A67" s="7" t="s">
        <v>18</v>
      </c>
      <c r="B67" s="7" t="s">
        <v>9</v>
      </c>
      <c r="C67" s="0" t="s">
        <v>10</v>
      </c>
      <c r="D67" s="16" t="n">
        <f aca="false">G67*H67*I67</f>
        <v>85.763286</v>
      </c>
      <c r="G67" s="13" t="n">
        <v>81679.32</v>
      </c>
      <c r="H67" s="17" t="n">
        <v>1.05</v>
      </c>
      <c r="I67" s="0" t="n">
        <v>0.001</v>
      </c>
    </row>
    <row r="68" customFormat="false" ht="13.8" hidden="false" customHeight="false" outlineLevel="0" collapsed="false">
      <c r="A68" s="7" t="s">
        <v>18</v>
      </c>
      <c r="B68" s="7" t="s">
        <v>9</v>
      </c>
      <c r="C68" s="0" t="s">
        <v>13</v>
      </c>
      <c r="D68" s="16" t="n">
        <f aca="false">G68*H68*I68</f>
        <v>109.718406</v>
      </c>
      <c r="G68" s="13" t="n">
        <v>104493.72</v>
      </c>
      <c r="H68" s="17" t="n">
        <v>1.05</v>
      </c>
      <c r="I68" s="0" t="n">
        <v>0.001</v>
      </c>
    </row>
    <row r="69" customFormat="false" ht="13.8" hidden="false" customHeight="false" outlineLevel="0" collapsed="false">
      <c r="A69" s="7" t="s">
        <v>18</v>
      </c>
      <c r="B69" s="9" t="s">
        <v>9</v>
      </c>
      <c r="C69" s="18" t="s">
        <v>15</v>
      </c>
      <c r="D69" s="16" t="n">
        <f aca="false">G69*H69*I69</f>
        <v>107.014908</v>
      </c>
      <c r="G69" s="13" t="n">
        <v>101918.96</v>
      </c>
      <c r="H69" s="17" t="n">
        <v>1.05</v>
      </c>
      <c r="I69" s="0" t="n">
        <v>0.001</v>
      </c>
    </row>
    <row r="70" customFormat="false" ht="13.8" hidden="false" customHeight="false" outlineLevel="0" collapsed="false">
      <c r="A70" s="7" t="s">
        <v>18</v>
      </c>
      <c r="B70" s="5" t="s">
        <v>12</v>
      </c>
      <c r="C70" s="15" t="s">
        <v>6</v>
      </c>
      <c r="D70" s="16" t="n">
        <f aca="false">G70*H70*I70</f>
        <v>97.121787</v>
      </c>
      <c r="G70" s="13" t="n">
        <v>92496.94</v>
      </c>
      <c r="H70" s="17" t="n">
        <v>1.05</v>
      </c>
      <c r="I70" s="0" t="n">
        <v>0.001</v>
      </c>
    </row>
    <row r="71" customFormat="false" ht="13.8" hidden="false" customHeight="false" outlineLevel="0" collapsed="false">
      <c r="A71" s="7" t="s">
        <v>18</v>
      </c>
      <c r="B71" s="7" t="s">
        <v>12</v>
      </c>
      <c r="C71" s="0" t="s">
        <v>10</v>
      </c>
      <c r="D71" s="16" t="n">
        <f aca="false">G71*H71*I71</f>
        <v>48.5996805</v>
      </c>
      <c r="G71" s="13" t="n">
        <v>46285.41</v>
      </c>
      <c r="H71" s="17" t="n">
        <v>1.05</v>
      </c>
      <c r="I71" s="0" t="n">
        <v>0.001</v>
      </c>
    </row>
    <row r="72" customFormat="false" ht="13.8" hidden="false" customHeight="false" outlineLevel="0" collapsed="false">
      <c r="A72" s="7" t="s">
        <v>18</v>
      </c>
      <c r="B72" s="7" t="s">
        <v>12</v>
      </c>
      <c r="C72" s="0" t="s">
        <v>13</v>
      </c>
      <c r="D72" s="16" t="n">
        <f aca="false">G72*H72*I72</f>
        <v>136.95717</v>
      </c>
      <c r="G72" s="13" t="n">
        <v>130435.4</v>
      </c>
      <c r="H72" s="17" t="n">
        <v>1.05</v>
      </c>
      <c r="I72" s="0" t="n">
        <v>0.001</v>
      </c>
    </row>
    <row r="73" customFormat="false" ht="13.8" hidden="false" customHeight="false" outlineLevel="0" collapsed="false">
      <c r="A73" s="9" t="s">
        <v>18</v>
      </c>
      <c r="B73" s="9" t="s">
        <v>12</v>
      </c>
      <c r="C73" s="18" t="s">
        <v>15</v>
      </c>
      <c r="D73" s="16" t="n">
        <f aca="false">G73*H73*I73</f>
        <v>123.5691555</v>
      </c>
      <c r="G73" s="13" t="n">
        <v>117684.91</v>
      </c>
      <c r="H73" s="17" t="n">
        <v>1.05</v>
      </c>
      <c r="I73" s="0" t="n">
        <v>0.001</v>
      </c>
    </row>
    <row r="74" customFormat="false" ht="13.8" hidden="false" customHeight="false" outlineLevel="0" collapsed="false">
      <c r="A74" s="5" t="s">
        <v>19</v>
      </c>
      <c r="B74" s="5" t="s">
        <v>5</v>
      </c>
      <c r="C74" s="15" t="s">
        <v>6</v>
      </c>
      <c r="D74" s="16" t="n">
        <f aca="false">G74*H74*I74</f>
        <v>25.3729245</v>
      </c>
      <c r="G74" s="13" t="n">
        <v>24164.69</v>
      </c>
      <c r="H74" s="17" t="n">
        <v>1.05</v>
      </c>
      <c r="I74" s="0" t="n">
        <v>0.001</v>
      </c>
    </row>
    <row r="75" customFormat="false" ht="13.8" hidden="false" customHeight="false" outlineLevel="0" collapsed="false">
      <c r="A75" s="7" t="s">
        <v>19</v>
      </c>
      <c r="B75" s="7" t="s">
        <v>5</v>
      </c>
      <c r="C75" s="0" t="s">
        <v>10</v>
      </c>
      <c r="D75" s="16" t="n">
        <f aca="false">G75*H75*I75</f>
        <v>82.609086</v>
      </c>
      <c r="G75" s="13" t="n">
        <v>78675.32</v>
      </c>
      <c r="H75" s="17" t="n">
        <v>1.05</v>
      </c>
      <c r="I75" s="0" t="n">
        <v>0.001</v>
      </c>
    </row>
    <row r="76" customFormat="false" ht="13.8" hidden="false" customHeight="false" outlineLevel="0" collapsed="false">
      <c r="A76" s="7" t="s">
        <v>19</v>
      </c>
      <c r="B76" s="7" t="s">
        <v>5</v>
      </c>
      <c r="C76" s="0" t="s">
        <v>13</v>
      </c>
      <c r="D76" s="16" t="n">
        <f aca="false">G76*H76*I76</f>
        <v>155.1006765</v>
      </c>
      <c r="G76" s="13" t="n">
        <v>147714.93</v>
      </c>
      <c r="H76" s="17" t="n">
        <v>1.05</v>
      </c>
      <c r="I76" s="0" t="n">
        <v>0.001</v>
      </c>
    </row>
    <row r="77" customFormat="false" ht="13.8" hidden="false" customHeight="false" outlineLevel="0" collapsed="false">
      <c r="A77" s="7" t="s">
        <v>19</v>
      </c>
      <c r="B77" s="9" t="s">
        <v>5</v>
      </c>
      <c r="C77" s="18" t="s">
        <v>15</v>
      </c>
      <c r="D77" s="16" t="n">
        <f aca="false">G77*H77*I77</f>
        <v>174.886782</v>
      </c>
      <c r="G77" s="13" t="n">
        <v>166558.84</v>
      </c>
      <c r="H77" s="17" t="n">
        <v>1.05</v>
      </c>
      <c r="I77" s="0" t="n">
        <v>0.001</v>
      </c>
    </row>
    <row r="78" customFormat="false" ht="13.8" hidden="false" customHeight="false" outlineLevel="0" collapsed="false">
      <c r="A78" s="7" t="s">
        <v>19</v>
      </c>
      <c r="B78" s="5" t="s">
        <v>9</v>
      </c>
      <c r="C78" s="15" t="s">
        <v>6</v>
      </c>
      <c r="D78" s="16" t="n">
        <f aca="false">G78*H78*I78</f>
        <v>115.8011715</v>
      </c>
      <c r="G78" s="13" t="n">
        <v>110286.83</v>
      </c>
      <c r="H78" s="17" t="n">
        <v>1.05</v>
      </c>
      <c r="I78" s="0" t="n">
        <v>0.001</v>
      </c>
    </row>
    <row r="79" customFormat="false" ht="13.8" hidden="false" customHeight="false" outlineLevel="0" collapsed="false">
      <c r="A79" s="7" t="s">
        <v>19</v>
      </c>
      <c r="B79" s="7" t="s">
        <v>9</v>
      </c>
      <c r="C79" s="0" t="s">
        <v>10</v>
      </c>
      <c r="D79" s="16" t="n">
        <f aca="false">G79*H79*I79</f>
        <v>85.763286</v>
      </c>
      <c r="G79" s="13" t="n">
        <v>81679.32</v>
      </c>
      <c r="H79" s="17" t="n">
        <v>1.05</v>
      </c>
      <c r="I79" s="0" t="n">
        <v>0.001</v>
      </c>
    </row>
    <row r="80" customFormat="false" ht="13.8" hidden="false" customHeight="false" outlineLevel="0" collapsed="false">
      <c r="A80" s="7" t="s">
        <v>19</v>
      </c>
      <c r="B80" s="7" t="s">
        <v>9</v>
      </c>
      <c r="C80" s="0" t="s">
        <v>13</v>
      </c>
      <c r="D80" s="16" t="n">
        <f aca="false">G80*H80*I80</f>
        <v>109.718406</v>
      </c>
      <c r="G80" s="13" t="n">
        <v>104493.72</v>
      </c>
      <c r="H80" s="17" t="n">
        <v>1.05</v>
      </c>
      <c r="I80" s="0" t="n">
        <v>0.001</v>
      </c>
    </row>
    <row r="81" customFormat="false" ht="13.8" hidden="false" customHeight="false" outlineLevel="0" collapsed="false">
      <c r="A81" s="7" t="s">
        <v>19</v>
      </c>
      <c r="B81" s="9" t="s">
        <v>9</v>
      </c>
      <c r="C81" s="18" t="s">
        <v>15</v>
      </c>
      <c r="D81" s="16" t="n">
        <f aca="false">G81*H81*I81</f>
        <v>107.014908</v>
      </c>
      <c r="G81" s="13" t="n">
        <v>101918.96</v>
      </c>
      <c r="H81" s="17" t="n">
        <v>1.05</v>
      </c>
      <c r="I81" s="0" t="n">
        <v>0.001</v>
      </c>
    </row>
    <row r="82" customFormat="false" ht="13.8" hidden="false" customHeight="false" outlineLevel="0" collapsed="false">
      <c r="A82" s="7" t="s">
        <v>19</v>
      </c>
      <c r="B82" s="5" t="s">
        <v>12</v>
      </c>
      <c r="C82" s="15" t="s">
        <v>6</v>
      </c>
      <c r="D82" s="16" t="n">
        <f aca="false">G82*H82*I82</f>
        <v>97.121787</v>
      </c>
      <c r="G82" s="13" t="n">
        <v>92496.94</v>
      </c>
      <c r="H82" s="17" t="n">
        <v>1.05</v>
      </c>
      <c r="I82" s="0" t="n">
        <v>0.001</v>
      </c>
    </row>
    <row r="83" customFormat="false" ht="13.8" hidden="false" customHeight="false" outlineLevel="0" collapsed="false">
      <c r="A83" s="7" t="s">
        <v>19</v>
      </c>
      <c r="B83" s="7" t="s">
        <v>12</v>
      </c>
      <c r="C83" s="0" t="s">
        <v>10</v>
      </c>
      <c r="D83" s="16" t="n">
        <f aca="false">G83*H83*I83</f>
        <v>48.5996805</v>
      </c>
      <c r="G83" s="13" t="n">
        <v>46285.41</v>
      </c>
      <c r="H83" s="17" t="n">
        <v>1.05</v>
      </c>
      <c r="I83" s="0" t="n">
        <v>0.001</v>
      </c>
    </row>
    <row r="84" customFormat="false" ht="13.8" hidden="false" customHeight="false" outlineLevel="0" collapsed="false">
      <c r="A84" s="7" t="s">
        <v>19</v>
      </c>
      <c r="B84" s="7" t="s">
        <v>12</v>
      </c>
      <c r="C84" s="0" t="s">
        <v>13</v>
      </c>
      <c r="D84" s="16" t="n">
        <f aca="false">G84*H84*I84</f>
        <v>136.95717</v>
      </c>
      <c r="G84" s="13" t="n">
        <v>130435.4</v>
      </c>
      <c r="H84" s="17" t="n">
        <v>1.05</v>
      </c>
      <c r="I84" s="0" t="n">
        <v>0.001</v>
      </c>
    </row>
    <row r="85" customFormat="false" ht="13.8" hidden="false" customHeight="false" outlineLevel="0" collapsed="false">
      <c r="A85" s="9" t="s">
        <v>19</v>
      </c>
      <c r="B85" s="9" t="s">
        <v>12</v>
      </c>
      <c r="C85" s="18" t="s">
        <v>15</v>
      </c>
      <c r="D85" s="16" t="n">
        <f aca="false">G85*H85*I85</f>
        <v>123.5691555</v>
      </c>
      <c r="G85" s="13" t="n">
        <v>117684.91</v>
      </c>
      <c r="H85" s="17" t="n">
        <v>1.05</v>
      </c>
      <c r="I85" s="0" t="n">
        <v>0.001</v>
      </c>
    </row>
    <row r="86" customFormat="false" ht="13.8" hidden="false" customHeight="false" outlineLevel="0" collapsed="false">
      <c r="A86" s="5" t="s">
        <v>20</v>
      </c>
      <c r="B86" s="5" t="s">
        <v>5</v>
      </c>
      <c r="C86" s="15" t="s">
        <v>6</v>
      </c>
      <c r="D86" s="16" t="n">
        <f aca="false">G86*H86*I86</f>
        <v>25.3729245</v>
      </c>
      <c r="G86" s="13" t="n">
        <v>24164.69</v>
      </c>
      <c r="H86" s="17" t="n">
        <v>1.05</v>
      </c>
      <c r="I86" s="0" t="n">
        <v>0.001</v>
      </c>
    </row>
    <row r="87" customFormat="false" ht="13.8" hidden="false" customHeight="false" outlineLevel="0" collapsed="false">
      <c r="A87" s="7" t="s">
        <v>20</v>
      </c>
      <c r="B87" s="7" t="s">
        <v>5</v>
      </c>
      <c r="C87" s="0" t="s">
        <v>10</v>
      </c>
      <c r="D87" s="16" t="n">
        <f aca="false">G87*H87*I87</f>
        <v>82.609086</v>
      </c>
      <c r="G87" s="13" t="n">
        <v>78675.32</v>
      </c>
      <c r="H87" s="17" t="n">
        <v>1.05</v>
      </c>
      <c r="I87" s="0" t="n">
        <v>0.001</v>
      </c>
    </row>
    <row r="88" customFormat="false" ht="13.8" hidden="false" customHeight="false" outlineLevel="0" collapsed="false">
      <c r="A88" s="7" t="s">
        <v>20</v>
      </c>
      <c r="B88" s="7" t="s">
        <v>5</v>
      </c>
      <c r="C88" s="0" t="s">
        <v>13</v>
      </c>
      <c r="D88" s="16" t="n">
        <f aca="false">G88*H88*I88</f>
        <v>155.1006765</v>
      </c>
      <c r="G88" s="13" t="n">
        <v>147714.93</v>
      </c>
      <c r="H88" s="17" t="n">
        <v>1.05</v>
      </c>
      <c r="I88" s="0" t="n">
        <v>0.001</v>
      </c>
    </row>
    <row r="89" customFormat="false" ht="13.8" hidden="false" customHeight="false" outlineLevel="0" collapsed="false">
      <c r="A89" s="7" t="s">
        <v>20</v>
      </c>
      <c r="B89" s="9" t="s">
        <v>5</v>
      </c>
      <c r="C89" s="18" t="s">
        <v>15</v>
      </c>
      <c r="D89" s="16" t="n">
        <f aca="false">G89*H89*I89</f>
        <v>174.886782</v>
      </c>
      <c r="G89" s="13" t="n">
        <v>166558.84</v>
      </c>
      <c r="H89" s="17" t="n">
        <v>1.05</v>
      </c>
      <c r="I89" s="0" t="n">
        <v>0.001</v>
      </c>
    </row>
    <row r="90" customFormat="false" ht="13.8" hidden="false" customHeight="false" outlineLevel="0" collapsed="false">
      <c r="A90" s="7" t="s">
        <v>20</v>
      </c>
      <c r="B90" s="5" t="s">
        <v>9</v>
      </c>
      <c r="C90" s="15" t="s">
        <v>6</v>
      </c>
      <c r="D90" s="16" t="n">
        <f aca="false">G90*H90*I90</f>
        <v>115.8011715</v>
      </c>
      <c r="G90" s="13" t="n">
        <v>110286.83</v>
      </c>
      <c r="H90" s="17" t="n">
        <v>1.05</v>
      </c>
      <c r="I90" s="0" t="n">
        <v>0.001</v>
      </c>
    </row>
    <row r="91" customFormat="false" ht="13.8" hidden="false" customHeight="false" outlineLevel="0" collapsed="false">
      <c r="A91" s="7" t="s">
        <v>20</v>
      </c>
      <c r="B91" s="7" t="s">
        <v>9</v>
      </c>
      <c r="C91" s="0" t="s">
        <v>10</v>
      </c>
      <c r="D91" s="16" t="n">
        <f aca="false">G91*H91*I91</f>
        <v>85.763286</v>
      </c>
      <c r="G91" s="13" t="n">
        <v>81679.32</v>
      </c>
      <c r="H91" s="17" t="n">
        <v>1.05</v>
      </c>
      <c r="I91" s="0" t="n">
        <v>0.001</v>
      </c>
    </row>
    <row r="92" customFormat="false" ht="13.8" hidden="false" customHeight="false" outlineLevel="0" collapsed="false">
      <c r="A92" s="7" t="s">
        <v>20</v>
      </c>
      <c r="B92" s="7" t="s">
        <v>9</v>
      </c>
      <c r="C92" s="0" t="s">
        <v>13</v>
      </c>
      <c r="D92" s="16" t="n">
        <f aca="false">G92*H92*I92</f>
        <v>109.718406</v>
      </c>
      <c r="G92" s="13" t="n">
        <v>104493.72</v>
      </c>
      <c r="H92" s="17" t="n">
        <v>1.05</v>
      </c>
      <c r="I92" s="0" t="n">
        <v>0.001</v>
      </c>
    </row>
    <row r="93" customFormat="false" ht="13.8" hidden="false" customHeight="false" outlineLevel="0" collapsed="false">
      <c r="A93" s="7" t="s">
        <v>20</v>
      </c>
      <c r="B93" s="9" t="s">
        <v>9</v>
      </c>
      <c r="C93" s="18" t="s">
        <v>15</v>
      </c>
      <c r="D93" s="16" t="n">
        <f aca="false">G93*H93*I93</f>
        <v>107.014908</v>
      </c>
      <c r="G93" s="13" t="n">
        <v>101918.96</v>
      </c>
      <c r="H93" s="17" t="n">
        <v>1.05</v>
      </c>
      <c r="I93" s="0" t="n">
        <v>0.001</v>
      </c>
    </row>
    <row r="94" customFormat="false" ht="13.8" hidden="false" customHeight="false" outlineLevel="0" collapsed="false">
      <c r="A94" s="7" t="s">
        <v>20</v>
      </c>
      <c r="B94" s="5" t="s">
        <v>12</v>
      </c>
      <c r="C94" s="15" t="s">
        <v>6</v>
      </c>
      <c r="D94" s="16" t="n">
        <f aca="false">G94*H94*I94</f>
        <v>97.121787</v>
      </c>
      <c r="G94" s="13" t="n">
        <v>92496.94</v>
      </c>
      <c r="H94" s="17" t="n">
        <v>1.05</v>
      </c>
      <c r="I94" s="0" t="n">
        <v>0.001</v>
      </c>
    </row>
    <row r="95" customFormat="false" ht="13.8" hidden="false" customHeight="false" outlineLevel="0" collapsed="false">
      <c r="A95" s="7" t="s">
        <v>20</v>
      </c>
      <c r="B95" s="7" t="s">
        <v>12</v>
      </c>
      <c r="C95" s="0" t="s">
        <v>10</v>
      </c>
      <c r="D95" s="16" t="n">
        <f aca="false">G95*H95*I95</f>
        <v>48.5996805</v>
      </c>
      <c r="G95" s="13" t="n">
        <v>46285.41</v>
      </c>
      <c r="H95" s="17" t="n">
        <v>1.05</v>
      </c>
      <c r="I95" s="0" t="n">
        <v>0.001</v>
      </c>
    </row>
    <row r="96" customFormat="false" ht="13.8" hidden="false" customHeight="false" outlineLevel="0" collapsed="false">
      <c r="A96" s="7" t="s">
        <v>20</v>
      </c>
      <c r="B96" s="7" t="s">
        <v>12</v>
      </c>
      <c r="C96" s="0" t="s">
        <v>13</v>
      </c>
      <c r="D96" s="16" t="n">
        <f aca="false">G96*H96*I96</f>
        <v>136.95717</v>
      </c>
      <c r="G96" s="13" t="n">
        <v>130435.4</v>
      </c>
      <c r="H96" s="17" t="n">
        <v>1.05</v>
      </c>
      <c r="I96" s="0" t="n">
        <v>0.001</v>
      </c>
    </row>
    <row r="97" customFormat="false" ht="13.8" hidden="false" customHeight="false" outlineLevel="0" collapsed="false">
      <c r="A97" s="9" t="s">
        <v>20</v>
      </c>
      <c r="B97" s="9" t="s">
        <v>12</v>
      </c>
      <c r="C97" s="18" t="s">
        <v>15</v>
      </c>
      <c r="D97" s="16" t="n">
        <f aca="false">G97*H97*I97</f>
        <v>123.5691555</v>
      </c>
      <c r="G97" s="13" t="n">
        <v>117684.91</v>
      </c>
      <c r="H97" s="17" t="n">
        <v>1.05</v>
      </c>
      <c r="I97" s="0" t="n">
        <v>0.001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9" colorId="64" zoomScale="80" zoomScaleNormal="80" zoomScalePageLayoutView="100" workbookViewId="0">
      <selection pane="topLeft" activeCell="C12" activeCellId="0" sqref="C12"/>
    </sheetView>
  </sheetViews>
  <sheetFormatPr defaultColWidth="10.59765625" defaultRowHeight="15" zeroHeight="false" outlineLevelRow="0" outlineLevelCol="0"/>
  <cols>
    <col collapsed="false" customWidth="true" hidden="false" outlineLevel="0" max="6" min="6" style="0" width="27.28"/>
    <col collapsed="false" customWidth="true" hidden="false" outlineLevel="0" max="7" min="7" style="0" width="21.71"/>
  </cols>
  <sheetData>
    <row r="1" customFormat="false" ht="15" hidden="false" customHeight="false" outlineLevel="0" collapsed="false">
      <c r="A1" s="1" t="s">
        <v>21</v>
      </c>
      <c r="B1" s="2" t="s">
        <v>36</v>
      </c>
      <c r="C1" s="3" t="s">
        <v>37</v>
      </c>
      <c r="F1" s="19" t="s">
        <v>38</v>
      </c>
      <c r="G1" s="19"/>
    </row>
    <row r="2" customFormat="false" ht="15" hidden="false" customHeight="false" outlineLevel="0" collapsed="false">
      <c r="A2" s="5" t="s">
        <v>7</v>
      </c>
      <c r="B2" s="15" t="s">
        <v>6</v>
      </c>
      <c r="C2" s="20" t="n">
        <f aca="false">$G$9*$G$2*$G3</f>
        <v>546191.91</v>
      </c>
      <c r="F2" s="21" t="s">
        <v>39</v>
      </c>
      <c r="G2" s="22" t="n">
        <v>0.03</v>
      </c>
      <c r="K2" s="0" t="s">
        <v>40</v>
      </c>
    </row>
    <row r="3" customFormat="false" ht="15" hidden="false" customHeight="false" outlineLevel="0" collapsed="false">
      <c r="A3" s="7" t="s">
        <v>7</v>
      </c>
      <c r="B3" s="0" t="s">
        <v>10</v>
      </c>
      <c r="C3" s="23" t="n">
        <f aca="false">$G$9*$G$2*$G4</f>
        <v>303439.95</v>
      </c>
      <c r="F3" s="1" t="s">
        <v>41</v>
      </c>
      <c r="G3" s="22" t="n">
        <v>0.45</v>
      </c>
      <c r="K3" s="0" t="s">
        <v>42</v>
      </c>
    </row>
    <row r="4" customFormat="false" ht="15" hidden="false" customHeight="false" outlineLevel="0" collapsed="false">
      <c r="A4" s="7" t="s">
        <v>7</v>
      </c>
      <c r="B4" s="0" t="s">
        <v>13</v>
      </c>
      <c r="C4" s="23" t="n">
        <f aca="false">$G$9*$G$2*$G5</f>
        <v>218476.764</v>
      </c>
      <c r="F4" s="1" t="s">
        <v>43</v>
      </c>
      <c r="G4" s="22" t="n">
        <v>0.25</v>
      </c>
      <c r="K4" s="0" t="s">
        <v>44</v>
      </c>
    </row>
    <row r="5" customFormat="false" ht="15" hidden="false" customHeight="false" outlineLevel="0" collapsed="false">
      <c r="A5" s="9" t="s">
        <v>7</v>
      </c>
      <c r="B5" s="18" t="s">
        <v>15</v>
      </c>
      <c r="C5" s="24" t="n">
        <f aca="false">$G$9*$G$2*$G6</f>
        <v>145651.176</v>
      </c>
      <c r="F5" s="1" t="s">
        <v>45</v>
      </c>
      <c r="G5" s="22" t="n">
        <v>0.18</v>
      </c>
      <c r="K5" s="0" t="s">
        <v>46</v>
      </c>
    </row>
    <row r="6" customFormat="false" ht="15" hidden="false" customHeight="false" outlineLevel="0" collapsed="false">
      <c r="A6" s="5" t="s">
        <v>11</v>
      </c>
      <c r="B6" s="15" t="s">
        <v>6</v>
      </c>
      <c r="C6" s="20" t="n">
        <f aca="false">$G$10*$G$2*$G3</f>
        <v>281371.59</v>
      </c>
      <c r="F6" s="1" t="s">
        <v>47</v>
      </c>
      <c r="G6" s="22" t="n">
        <v>0.12</v>
      </c>
      <c r="K6" s="0" t="s">
        <v>48</v>
      </c>
    </row>
    <row r="7" customFormat="false" ht="15" hidden="false" customHeight="false" outlineLevel="0" collapsed="false">
      <c r="A7" s="7" t="s">
        <v>11</v>
      </c>
      <c r="B7" s="0" t="s">
        <v>10</v>
      </c>
      <c r="C7" s="23" t="n">
        <f aca="false">$G$10*$G$2*$G4</f>
        <v>156317.55</v>
      </c>
      <c r="K7" s="0" t="s">
        <v>49</v>
      </c>
    </row>
    <row r="8" customFormat="false" ht="15" hidden="false" customHeight="false" outlineLevel="0" collapsed="false">
      <c r="A8" s="7" t="s">
        <v>11</v>
      </c>
      <c r="B8" s="0" t="s">
        <v>13</v>
      </c>
      <c r="C8" s="23" t="n">
        <f aca="false">$G$10*$G$2*$G5</f>
        <v>112548.636</v>
      </c>
      <c r="F8" s="25" t="s">
        <v>50</v>
      </c>
      <c r="G8" s="26" t="s">
        <v>51</v>
      </c>
      <c r="K8" s="0" t="s">
        <v>52</v>
      </c>
    </row>
    <row r="9" customFormat="false" ht="15" hidden="false" customHeight="false" outlineLevel="0" collapsed="false">
      <c r="A9" s="9" t="s">
        <v>11</v>
      </c>
      <c r="B9" s="18" t="s">
        <v>15</v>
      </c>
      <c r="C9" s="24" t="n">
        <f aca="false">$G$10*$G$2*$G6</f>
        <v>75032.424</v>
      </c>
      <c r="F9" s="27" t="s">
        <v>53</v>
      </c>
      <c r="G9" s="28" t="n">
        <v>40458660</v>
      </c>
      <c r="I9" s="29" t="n">
        <v>40458660</v>
      </c>
      <c r="K9" s="0" t="s">
        <v>54</v>
      </c>
    </row>
    <row r="10" customFormat="false" ht="15" hidden="false" customHeight="false" outlineLevel="0" collapsed="false">
      <c r="A10" s="5" t="s">
        <v>14</v>
      </c>
      <c r="B10" s="15" t="s">
        <v>6</v>
      </c>
      <c r="C10" s="20" t="n">
        <f aca="false">$G$11*$G$2*$G3</f>
        <v>39919.5</v>
      </c>
      <c r="F10" s="27" t="s">
        <v>55</v>
      </c>
      <c r="G10" s="28" t="n">
        <v>20842340</v>
      </c>
      <c r="I10" s="29" t="n">
        <v>20842340</v>
      </c>
    </row>
    <row r="11" customFormat="false" ht="15" hidden="false" customHeight="false" outlineLevel="0" collapsed="false">
      <c r="A11" s="7" t="s">
        <v>14</v>
      </c>
      <c r="B11" s="0" t="s">
        <v>10</v>
      </c>
      <c r="C11" s="23" t="n">
        <f aca="false">$G$11*$G$2*$G4</f>
        <v>22177.5</v>
      </c>
      <c r="F11" s="27" t="s">
        <v>56</v>
      </c>
      <c r="G11" s="28" t="n">
        <v>2957000</v>
      </c>
      <c r="K11" s="0" t="s">
        <v>57</v>
      </c>
    </row>
    <row r="12" customFormat="false" ht="30" hidden="false" customHeight="false" outlineLevel="0" collapsed="false">
      <c r="A12" s="7" t="s">
        <v>14</v>
      </c>
      <c r="B12" s="0" t="s">
        <v>13</v>
      </c>
      <c r="C12" s="23" t="n">
        <f aca="false">$G$11*$G$2*$G5</f>
        <v>15967.8</v>
      </c>
      <c r="F12" s="27" t="s">
        <v>58</v>
      </c>
      <c r="G12" s="28" t="n">
        <v>1009270</v>
      </c>
      <c r="K12" s="0" t="s">
        <v>59</v>
      </c>
    </row>
    <row r="13" customFormat="false" ht="15" hidden="false" customHeight="false" outlineLevel="0" collapsed="false">
      <c r="A13" s="9" t="s">
        <v>14</v>
      </c>
      <c r="B13" s="18" t="s">
        <v>15</v>
      </c>
      <c r="C13" s="24" t="n">
        <f aca="false">$G$11*$G$2*$G6</f>
        <v>10645.2</v>
      </c>
      <c r="F13" s="27" t="s">
        <v>17</v>
      </c>
      <c r="G13" s="28" t="n">
        <v>7171000</v>
      </c>
      <c r="K13" s="0" t="s">
        <v>60</v>
      </c>
    </row>
    <row r="14" customFormat="false" ht="15" hidden="false" customHeight="false" outlineLevel="0" collapsed="false">
      <c r="A14" s="5" t="s">
        <v>16</v>
      </c>
      <c r="B14" s="15" t="s">
        <v>6</v>
      </c>
      <c r="C14" s="20" t="n">
        <f aca="false">$G$12*$G$2*$G3</f>
        <v>13625.145</v>
      </c>
      <c r="F14" s="27" t="s">
        <v>18</v>
      </c>
      <c r="G14" s="28" t="n">
        <v>1333000</v>
      </c>
      <c r="K14" s="0" t="s">
        <v>61</v>
      </c>
    </row>
    <row r="15" customFormat="false" ht="15" hidden="false" customHeight="false" outlineLevel="0" collapsed="false">
      <c r="A15" s="7" t="s">
        <v>16</v>
      </c>
      <c r="B15" s="0" t="s">
        <v>10</v>
      </c>
      <c r="C15" s="23" t="n">
        <f aca="false">$G$12*$G$2*$G4</f>
        <v>7569.525</v>
      </c>
      <c r="F15" s="30" t="s">
        <v>62</v>
      </c>
      <c r="G15" s="31" t="n">
        <v>16193300</v>
      </c>
      <c r="K15" s="0" t="s">
        <v>63</v>
      </c>
    </row>
    <row r="16" customFormat="false" ht="15" hidden="false" customHeight="false" outlineLevel="0" collapsed="false">
      <c r="A16" s="7" t="s">
        <v>16</v>
      </c>
      <c r="B16" s="0" t="s">
        <v>13</v>
      </c>
      <c r="C16" s="23" t="n">
        <f aca="false">$G$12*$G$2*$G5</f>
        <v>5450.058</v>
      </c>
      <c r="F16" s="27" t="s">
        <v>64</v>
      </c>
      <c r="G16" s="28" t="n">
        <v>5209870</v>
      </c>
    </row>
    <row r="17" customFormat="false" ht="15" hidden="false" customHeight="false" outlineLevel="0" collapsed="false">
      <c r="A17" s="9" t="s">
        <v>16</v>
      </c>
      <c r="B17" s="18" t="s">
        <v>15</v>
      </c>
      <c r="C17" s="24" t="n">
        <f aca="false">$G$12*$G$2*$G6</f>
        <v>3633.372</v>
      </c>
    </row>
    <row r="18" customFormat="false" ht="15" hidden="false" customHeight="false" outlineLevel="0" collapsed="false">
      <c r="A18" s="5" t="s">
        <v>17</v>
      </c>
      <c r="B18" s="15" t="s">
        <v>6</v>
      </c>
      <c r="C18" s="20" t="n">
        <f aca="false">$G$13*$G$2*$G3</f>
        <v>96808.5</v>
      </c>
      <c r="F18" s="0" t="s">
        <v>8</v>
      </c>
    </row>
    <row r="19" customFormat="false" ht="15" hidden="false" customHeight="false" outlineLevel="0" collapsed="false">
      <c r="A19" s="7" t="s">
        <v>17</v>
      </c>
      <c r="B19" s="0" t="s">
        <v>10</v>
      </c>
      <c r="C19" s="23" t="n">
        <f aca="false">$G$13*$G$2*$G4</f>
        <v>53782.5</v>
      </c>
    </row>
    <row r="20" customFormat="false" ht="15" hidden="false" customHeight="false" outlineLevel="0" collapsed="false">
      <c r="A20" s="7" t="s">
        <v>17</v>
      </c>
      <c r="B20" s="0" t="s">
        <v>13</v>
      </c>
      <c r="C20" s="23" t="n">
        <f aca="false">$G$13*$G$2*$G5</f>
        <v>38723.4</v>
      </c>
    </row>
    <row r="21" customFormat="false" ht="15" hidden="false" customHeight="false" outlineLevel="0" collapsed="false">
      <c r="A21" s="9" t="s">
        <v>17</v>
      </c>
      <c r="B21" s="18" t="s">
        <v>15</v>
      </c>
      <c r="C21" s="24" t="n">
        <f aca="false">$G$13*$G$2*$G6</f>
        <v>25815.6</v>
      </c>
    </row>
    <row r="22" customFormat="false" ht="15" hidden="false" customHeight="false" outlineLevel="0" collapsed="false">
      <c r="A22" s="5" t="s">
        <v>18</v>
      </c>
      <c r="B22" s="15" t="s">
        <v>6</v>
      </c>
      <c r="C22" s="20" t="n">
        <f aca="false">$G$14*$G$2*$G3</f>
        <v>17995.5</v>
      </c>
    </row>
    <row r="23" customFormat="false" ht="15" hidden="false" customHeight="false" outlineLevel="0" collapsed="false">
      <c r="A23" s="7" t="s">
        <v>18</v>
      </c>
      <c r="B23" s="0" t="s">
        <v>10</v>
      </c>
      <c r="C23" s="23" t="n">
        <f aca="false">$G$14*$G$2*$G4</f>
        <v>9997.5</v>
      </c>
    </row>
    <row r="24" customFormat="false" ht="15" hidden="false" customHeight="false" outlineLevel="0" collapsed="false">
      <c r="A24" s="7" t="s">
        <v>18</v>
      </c>
      <c r="B24" s="0" t="s">
        <v>13</v>
      </c>
      <c r="C24" s="23" t="n">
        <f aca="false">$G$14*$G$2*$G5</f>
        <v>7198.2</v>
      </c>
    </row>
    <row r="25" customFormat="false" ht="15" hidden="false" customHeight="false" outlineLevel="0" collapsed="false">
      <c r="A25" s="9" t="s">
        <v>18</v>
      </c>
      <c r="B25" s="18" t="s">
        <v>15</v>
      </c>
      <c r="C25" s="24" t="n">
        <f aca="false">$G$14*$G$2*$G6</f>
        <v>4798.8</v>
      </c>
    </row>
    <row r="26" customFormat="false" ht="15" hidden="false" customHeight="false" outlineLevel="0" collapsed="false">
      <c r="A26" s="5" t="s">
        <v>19</v>
      </c>
      <c r="B26" s="15" t="s">
        <v>6</v>
      </c>
      <c r="C26" s="20" t="n">
        <f aca="false">$G$15*$G$2*$G3</f>
        <v>218609.55</v>
      </c>
    </row>
    <row r="27" customFormat="false" ht="15" hidden="false" customHeight="false" outlineLevel="0" collapsed="false">
      <c r="A27" s="7" t="s">
        <v>19</v>
      </c>
      <c r="B27" s="0" t="s">
        <v>10</v>
      </c>
      <c r="C27" s="23" t="n">
        <f aca="false">$G$15*$G$2*$G4</f>
        <v>121449.75</v>
      </c>
    </row>
    <row r="28" customFormat="false" ht="15" hidden="false" customHeight="false" outlineLevel="0" collapsed="false">
      <c r="A28" s="7" t="s">
        <v>19</v>
      </c>
      <c r="B28" s="0" t="s">
        <v>13</v>
      </c>
      <c r="C28" s="23" t="n">
        <f aca="false">$G$15*$G$2*$G5</f>
        <v>87443.82</v>
      </c>
    </row>
    <row r="29" customFormat="false" ht="15" hidden="false" customHeight="false" outlineLevel="0" collapsed="false">
      <c r="A29" s="9" t="s">
        <v>19</v>
      </c>
      <c r="B29" s="18" t="s">
        <v>15</v>
      </c>
      <c r="C29" s="24" t="n">
        <f aca="false">$G$15*$G$2*$G6</f>
        <v>58295.88</v>
      </c>
    </row>
    <row r="30" customFormat="false" ht="15" hidden="false" customHeight="false" outlineLevel="0" collapsed="false">
      <c r="A30" s="5" t="s">
        <v>20</v>
      </c>
      <c r="B30" s="15" t="s">
        <v>6</v>
      </c>
      <c r="C30" s="20" t="n">
        <f aca="false">$G$16*$G$2*$G3</f>
        <v>70333.245</v>
      </c>
    </row>
    <row r="31" customFormat="false" ht="15" hidden="false" customHeight="false" outlineLevel="0" collapsed="false">
      <c r="A31" s="7" t="s">
        <v>20</v>
      </c>
      <c r="B31" s="0" t="s">
        <v>10</v>
      </c>
      <c r="C31" s="23" t="n">
        <f aca="false">$G$16*$G$2*$G4</f>
        <v>39074.025</v>
      </c>
    </row>
    <row r="32" customFormat="false" ht="15" hidden="false" customHeight="false" outlineLevel="0" collapsed="false">
      <c r="A32" s="7" t="s">
        <v>20</v>
      </c>
      <c r="B32" s="0" t="s">
        <v>13</v>
      </c>
      <c r="C32" s="23" t="n">
        <f aca="false">$G$16*$G$2*$G5</f>
        <v>28133.298</v>
      </c>
    </row>
    <row r="33" customFormat="false" ht="15" hidden="false" customHeight="false" outlineLevel="0" collapsed="false">
      <c r="A33" s="9" t="s">
        <v>20</v>
      </c>
      <c r="B33" s="18" t="s">
        <v>15</v>
      </c>
      <c r="C33" s="24" t="n">
        <f aca="false">$G$16*$G$2*$G6</f>
        <v>18755.532</v>
      </c>
    </row>
  </sheetData>
  <mergeCells count="1">
    <mergeCell ref="F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0.59765625" defaultRowHeight="15" zeroHeight="false" outlineLevelRow="0" outlineLevelCol="0"/>
  <cols>
    <col collapsed="false" customWidth="true" hidden="false" outlineLevel="0" max="1" min="1" style="0" width="17.86"/>
  </cols>
  <sheetData>
    <row r="1" customFormat="false" ht="15" hidden="false" customHeight="false" outlineLevel="0" collapsed="false">
      <c r="A1" s="32" t="s">
        <v>65</v>
      </c>
    </row>
    <row r="2" customFormat="false" ht="15" hidden="false" customHeight="false" outlineLevel="0" collapsed="false">
      <c r="A2" s="33" t="n">
        <v>1168344890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ESTUDIO</dc:creator>
  <dc:description/>
  <dc:language>en-US</dc:language>
  <cp:lastModifiedBy/>
  <cp:lastPrinted>2026-05-28T15:21:48Z</cp:lastPrinted>
  <dcterms:modified xsi:type="dcterms:W3CDTF">2026-05-29T18:06:28Z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