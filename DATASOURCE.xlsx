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ESTUDIO\Downloads\TP-IO\"/>
    </mc:Choice>
  </mc:AlternateContent>
  <xr:revisionPtr revIDLastSave="0" documentId="13_ncr:1_{83E13F24-0676-4B8D-8BD5-02F578E9722B}" xr6:coauthVersionLast="47" xr6:coauthVersionMax="47" xr10:uidLastSave="{00000000-0000-0000-0000-000000000000}"/>
  <bookViews>
    <workbookView xWindow="-120" yWindow="-120" windowWidth="28110" windowHeight="16440" activeTab="5" xr2:uid="{00000000-000D-0000-FFFF-FFFF00000000}"/>
  </bookViews>
  <sheets>
    <sheet name="SETS" sheetId="9" r:id="rId1"/>
    <sheet name="PRODUCTOS" sheetId="3" r:id="rId2"/>
    <sheet name="CAPACIDADES" sheetId="10" r:id="rId3"/>
    <sheet name="DESCREMA" sheetId="11" r:id="rId4"/>
    <sheet name="COSTOS" sheetId="12" r:id="rId5"/>
    <sheet name="DEMANDA" sheetId="13" r:id="rId6"/>
    <sheet name="PARAMETROS" sheetId="14" r:id="rId7"/>
  </sheets>
  <definedNames>
    <definedName name="CAPACIDAD_CREMA" comment="Capacidad de la planta para producir crema">CAPACIDADES!$D$2:$D$4</definedName>
    <definedName name="CAPACIDAD_LECHE_EN_POLVO" comment="Capacidad de la planta para producir leche en polvo (entera y descremada)">CAPACIDADES!$C$2:$C$4</definedName>
    <definedName name="CAPACIDAD_LECHE_FLUIDA" comment="Capacidad de la planta para producir leche fluida (entera y descremada)">CAPACIDADES!$B$2:$B$4</definedName>
    <definedName name="CAPACIDAD_MANTECA" comment="Capacidad de la planta para producir manteca">CAPACIDADES!$E$2:$E$4</definedName>
    <definedName name="CAPACIDAD_QUESO" comment="Capacidad de la planta para producir queso (blando y muy blando)">CAPACIDADES!$F$2:$F$4</definedName>
    <definedName name="CENTROS" comment="Centros de distribución.">SETS!$B$2:$B$5</definedName>
    <definedName name="COSTO" comment="Costo de mandar el Producto I desde la planta J al centro K (porfa funciona)">COSTOS!$D$2:$D$97</definedName>
    <definedName name="COSTO_LD_SF" comment="Costo de enviar leche descremada desde la planta J a la planta P3 (Santa Fe)">DESCREMA!$B$2:$B$3</definedName>
    <definedName name="DEM" comment="Demanda de producto por parte de los centros (Producto J -&gt; Centro K) (porfa funciona)">DEMANDA!$C$2:$C$33</definedName>
    <definedName name="DESCREMA" comment="Conjunto de plantas que pueden descremar leche.">SETS!$D$2:$D$3</definedName>
    <definedName name="FACTOR_CONVERSION" comment="Factores de conversion en relacion a la leche equivalente">PRODUCTOS!$B$2:$B$9</definedName>
    <definedName name="LECHE_DISPONIBLE" comment="Cantidad de materia prima disponible">PARAMETROS!$A$2</definedName>
    <definedName name="PLANTA" comment="Plantas que producen.">SETS!$A$2:$A$4</definedName>
    <definedName name="PRODUCTOS" comment="Productos que se producen y venden.">SETS!$C$2:$C$9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13" l="1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2" i="12"/>
  <c r="C31" i="13"/>
  <c r="C32" i="13"/>
  <c r="C33" i="13"/>
  <c r="C30" i="13"/>
  <c r="C26" i="13"/>
  <c r="C27" i="13"/>
  <c r="C28" i="13"/>
  <c r="C29" i="13"/>
  <c r="C22" i="13"/>
  <c r="C23" i="13"/>
  <c r="C24" i="13"/>
  <c r="C25" i="13"/>
  <c r="C18" i="13"/>
  <c r="C19" i="13"/>
  <c r="C20" i="13"/>
  <c r="C21" i="13"/>
  <c r="C14" i="13"/>
  <c r="C15" i="13"/>
  <c r="C16" i="13"/>
  <c r="C17" i="13"/>
  <c r="C11" i="13"/>
  <c r="C12" i="13"/>
  <c r="C13" i="13"/>
  <c r="C10" i="13"/>
  <c r="C6" i="13"/>
  <c r="C8" i="13"/>
  <c r="C9" i="13"/>
  <c r="C2" i="13"/>
  <c r="C3" i="13"/>
  <c r="C4" i="13"/>
  <c r="C5" i="13"/>
</calcChain>
</file>

<file path=xl/sharedStrings.xml><?xml version="1.0" encoding="utf-8"?>
<sst xmlns="http://schemas.openxmlformats.org/spreadsheetml/2006/main" count="443" uniqueCount="65">
  <si>
    <t>PRODUCTO</t>
  </si>
  <si>
    <t>LECHE FLUIDA ENTERA</t>
  </si>
  <si>
    <t>LECHE FLUIDA DESCREMADA</t>
  </si>
  <si>
    <t>LECHE EN POLVO ENTERA</t>
  </si>
  <si>
    <t>LECHE EN POLVO DESCREMADA</t>
  </si>
  <si>
    <t>CREMA</t>
  </si>
  <si>
    <t>MANTECA</t>
  </si>
  <si>
    <t>ABASTECIMIENTO NACIONAL</t>
  </si>
  <si>
    <t>DIVISION CAPITAL FEDERAL</t>
  </si>
  <si>
    <t>DIVISION ROSARIO</t>
  </si>
  <si>
    <t>DIVISION MENDOZA</t>
  </si>
  <si>
    <t>DIVISION TUCUMÁN</t>
  </si>
  <si>
    <t>LFE</t>
  </si>
  <si>
    <t>LFD</t>
  </si>
  <si>
    <t>LPE</t>
  </si>
  <si>
    <t>LPD</t>
  </si>
  <si>
    <t>PLANTA</t>
  </si>
  <si>
    <t>CAPACIDAD_LECHE_FLUIDA</t>
  </si>
  <si>
    <t>CAPACIDAD_LECHE_EN_POLVO</t>
  </si>
  <si>
    <t>CAPACIDAD_CREMA</t>
  </si>
  <si>
    <t>CAPACIDAD_MANTECA</t>
  </si>
  <si>
    <t>P1</t>
  </si>
  <si>
    <t>P2</t>
  </si>
  <si>
    <t>P3</t>
  </si>
  <si>
    <t>CENTROS</t>
  </si>
  <si>
    <t>C1</t>
  </si>
  <si>
    <t>C2</t>
  </si>
  <si>
    <t>C3</t>
  </si>
  <si>
    <t>FACTOR_CONVERSION</t>
  </si>
  <si>
    <t>PRODUCTOS</t>
  </si>
  <si>
    <t>C4</t>
  </si>
  <si>
    <t>QB</t>
  </si>
  <si>
    <t>QMB</t>
  </si>
  <si>
    <t>CAPACIDAD_QUESO</t>
  </si>
  <si>
    <t>*P1=Buenos Aires, P2=Córdoba, P3=Santa Fe</t>
  </si>
  <si>
    <t>*C1=Capital Federa, C2=Rosario, C3=Mendoza, C4=Tucumán</t>
  </si>
  <si>
    <t>COSTO_LD_SF</t>
  </si>
  <si>
    <t>COSTO</t>
  </si>
  <si>
    <t>CENTRO</t>
  </si>
  <si>
    <t>DEM</t>
  </si>
  <si>
    <t>constantes</t>
  </si>
  <si>
    <t>producto</t>
  </si>
  <si>
    <t>demanda total país</t>
  </si>
  <si>
    <t>QUESO BLANCO</t>
  </si>
  <si>
    <t>QUESO MUY BLANDO</t>
  </si>
  <si>
    <t>DESCREMA</t>
  </si>
  <si>
    <t>¿REFRIGERADO?</t>
  </si>
  <si>
    <t>DISTANCIA</t>
  </si>
  <si>
    <t>GASTO [$/KM]</t>
  </si>
  <si>
    <t>FACTOR REFRIGERADO</t>
  </si>
  <si>
    <t>GASTO</t>
  </si>
  <si>
    <t>Datos de otros grupos</t>
  </si>
  <si>
    <t>estacionalidad leche octubre: 1,168,344,890</t>
  </si>
  <si>
    <t>Ventas internas QMB: 5209.87 tn</t>
  </si>
  <si>
    <t>Ventas internas QB: 16.193,30 tn</t>
  </si>
  <si>
    <t>Ventas internas MT: 3698,16 tn</t>
  </si>
  <si>
    <t>Ventas internas CR: 7171 * 10^3 litros</t>
  </si>
  <si>
    <t>Ventas internas LPD: 1009.27 tn</t>
  </si>
  <si>
    <t>Ventas internes LF: (ref) 53531, (noref) 61301 *10^3 litros</t>
  </si>
  <si>
    <t>LECHE_DISPONIBLE</t>
  </si>
  <si>
    <t xml:space="preserve">CABA 596.660,40 </t>
  </si>
  <si>
    <t xml:space="preserve"> ROS 331.477,99</t>
  </si>
  <si>
    <t>MDZ 238.664,16</t>
  </si>
  <si>
    <t>TUC 159.109,44</t>
  </si>
  <si>
    <t xml:space="preserve">ventas LPE: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</si>
</sst>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Inherit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0" borderId="3" xfId="1" applyFont="1" applyBorder="1"/>
    <xf numFmtId="0" fontId="2" fillId="2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64" fontId="0" fillId="0" borderId="0" xfId="0" applyNumberFormat="1"/>
    <xf numFmtId="4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4" fontId="0" fillId="0" borderId="8" xfId="0" applyNumberFormat="1" applyBorder="1"/>
    <xf numFmtId="4" fontId="0" fillId="0" borderId="11" xfId="0" applyNumberFormat="1" applyBorder="1"/>
    <xf numFmtId="4" fontId="0" fillId="0" borderId="2" xfId="0" applyNumberFormat="1" applyBorder="1"/>
    <xf numFmtId="4" fontId="0" fillId="0" borderId="3" xfId="0" applyNumberFormat="1" applyBorder="1"/>
    <xf numFmtId="2" fontId="0" fillId="0" borderId="0" xfId="0" applyNumberFormat="1"/>
    <xf numFmtId="4" fontId="0" fillId="0" borderId="6" xfId="0" applyNumberFormat="1" applyBorder="1"/>
    <xf numFmtId="0" fontId="2" fillId="4" borderId="1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15" xfId="0" applyBorder="1"/>
    <xf numFmtId="4" fontId="0" fillId="0" borderId="15" xfId="0" applyNumberFormat="1" applyBorder="1"/>
    <xf numFmtId="4" fontId="0" fillId="0" borderId="3" xfId="0" applyNumberFormat="1" applyBorder="1" applyAlignment="1">
      <alignment horizontal="right"/>
    </xf>
    <xf numFmtId="4" fontId="0" fillId="0" borderId="8" xfId="0" applyNumberFormat="1" applyBorder="1" applyAlignment="1">
      <alignment horizontal="right"/>
    </xf>
    <xf numFmtId="0" fontId="0" fillId="0" borderId="1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3" fillId="0" borderId="0" xfId="0" applyFont="1" applyAlignment="1">
      <alignment vertic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workbookViewId="0">
      <selection activeCell="E15" sqref="E15"/>
    </sheetView>
  </sheetViews>
  <sheetFormatPr baseColWidth="10" defaultRowHeight="15"/>
  <cols>
    <col min="3" max="3" width="11.85546875" bestFit="1" customWidth="1"/>
  </cols>
  <sheetData>
    <row r="1" spans="1:6">
      <c r="A1" s="1" t="s">
        <v>16</v>
      </c>
      <c r="B1" s="8" t="s">
        <v>24</v>
      </c>
      <c r="C1" s="8" t="s">
        <v>29</v>
      </c>
      <c r="D1" s="9" t="s">
        <v>45</v>
      </c>
      <c r="F1" t="s">
        <v>34</v>
      </c>
    </row>
    <row r="2" spans="1:6">
      <c r="A2" s="15" t="s">
        <v>21</v>
      </c>
      <c r="B2" s="10" t="s">
        <v>25</v>
      </c>
      <c r="C2" s="15" t="s">
        <v>12</v>
      </c>
      <c r="D2" s="15" t="s">
        <v>21</v>
      </c>
      <c r="F2" t="s">
        <v>35</v>
      </c>
    </row>
    <row r="3" spans="1:6">
      <c r="A3" s="16" t="s">
        <v>22</v>
      </c>
      <c r="B3" s="12" t="s">
        <v>26</v>
      </c>
      <c r="C3" s="16" t="s">
        <v>13</v>
      </c>
      <c r="D3" s="17" t="s">
        <v>22</v>
      </c>
    </row>
    <row r="4" spans="1:6">
      <c r="A4" s="17" t="s">
        <v>23</v>
      </c>
      <c r="B4" s="12" t="s">
        <v>27</v>
      </c>
      <c r="C4" s="16" t="s">
        <v>14</v>
      </c>
    </row>
    <row r="5" spans="1:6">
      <c r="B5" s="13" t="s">
        <v>30</v>
      </c>
      <c r="C5" s="16" t="s">
        <v>15</v>
      </c>
    </row>
    <row r="6" spans="1:6">
      <c r="C6" s="16" t="s">
        <v>5</v>
      </c>
    </row>
    <row r="7" spans="1:6">
      <c r="C7" s="16" t="s">
        <v>6</v>
      </c>
    </row>
    <row r="8" spans="1:6">
      <c r="C8" s="16" t="s">
        <v>31</v>
      </c>
    </row>
    <row r="9" spans="1:6">
      <c r="C9" s="17" t="s">
        <v>32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>
      <selection activeCell="D9" sqref="D9"/>
    </sheetView>
  </sheetViews>
  <sheetFormatPr baseColWidth="10" defaultRowHeight="15"/>
  <cols>
    <col min="1" max="1" width="10.85546875" bestFit="1" customWidth="1"/>
    <col min="2" max="2" width="20.42578125" bestFit="1" customWidth="1"/>
    <col min="3" max="3" width="15.28515625" bestFit="1" customWidth="1"/>
  </cols>
  <sheetData>
    <row r="1" spans="1:3">
      <c r="A1" t="s">
        <v>0</v>
      </c>
      <c r="B1" t="s">
        <v>28</v>
      </c>
      <c r="C1" t="s">
        <v>46</v>
      </c>
    </row>
    <row r="2" spans="1:3">
      <c r="A2" t="s">
        <v>12</v>
      </c>
      <c r="B2" s="6">
        <v>1.0629999999999999</v>
      </c>
      <c r="C2">
        <v>1</v>
      </c>
    </row>
    <row r="3" spans="1:3">
      <c r="A3" t="s">
        <v>13</v>
      </c>
      <c r="B3" s="6">
        <v>1.0629999999999999</v>
      </c>
      <c r="C3">
        <v>1</v>
      </c>
    </row>
    <row r="4" spans="1:3">
      <c r="A4" t="s">
        <v>14</v>
      </c>
      <c r="B4" s="6">
        <v>8.7550000000000008</v>
      </c>
      <c r="C4">
        <v>0</v>
      </c>
    </row>
    <row r="5" spans="1:3">
      <c r="A5" t="s">
        <v>15</v>
      </c>
      <c r="B5" s="6">
        <v>12.25</v>
      </c>
      <c r="C5">
        <v>0</v>
      </c>
    </row>
    <row r="6" spans="1:3">
      <c r="A6" t="s">
        <v>5</v>
      </c>
      <c r="B6" s="6">
        <v>12.25</v>
      </c>
      <c r="C6">
        <v>1</v>
      </c>
    </row>
    <row r="7" spans="1:3">
      <c r="A7" t="s">
        <v>6</v>
      </c>
      <c r="B7" s="6">
        <v>34.0277777777778</v>
      </c>
      <c r="C7">
        <v>1</v>
      </c>
    </row>
    <row r="8" spans="1:3">
      <c r="A8" t="s">
        <v>31</v>
      </c>
      <c r="B8" s="6">
        <v>7.2450000000000001</v>
      </c>
      <c r="C8">
        <v>1</v>
      </c>
    </row>
    <row r="9" spans="1:3">
      <c r="A9" t="s">
        <v>32</v>
      </c>
      <c r="B9" s="6">
        <v>2.395</v>
      </c>
      <c r="C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"/>
  <sheetViews>
    <sheetView workbookViewId="0">
      <selection activeCell="G1" sqref="G1"/>
    </sheetView>
  </sheetViews>
  <sheetFormatPr baseColWidth="10" defaultRowHeight="15"/>
  <cols>
    <col min="2" max="2" width="25.28515625" bestFit="1" customWidth="1"/>
    <col min="3" max="3" width="28.7109375" bestFit="1" customWidth="1"/>
    <col min="4" max="4" width="18.85546875" bestFit="1" customWidth="1"/>
    <col min="5" max="5" width="21.5703125" bestFit="1" customWidth="1"/>
    <col min="6" max="6" width="18.7109375" bestFit="1" customWidth="1"/>
    <col min="7" max="7" width="18.85546875" bestFit="1" customWidth="1"/>
  </cols>
  <sheetData>
    <row r="1" spans="1:9">
      <c r="A1" s="1" t="s">
        <v>16</v>
      </c>
      <c r="B1" s="8" t="s">
        <v>17</v>
      </c>
      <c r="C1" s="8" t="s">
        <v>18</v>
      </c>
      <c r="D1" s="8" t="s">
        <v>19</v>
      </c>
      <c r="E1" s="8" t="s">
        <v>20</v>
      </c>
      <c r="F1" s="9" t="s">
        <v>33</v>
      </c>
      <c r="I1" t="s">
        <v>34</v>
      </c>
    </row>
    <row r="2" spans="1:9">
      <c r="A2" s="1" t="s">
        <v>21</v>
      </c>
      <c r="B2" s="20">
        <v>1200000</v>
      </c>
      <c r="C2" s="20">
        <v>200000</v>
      </c>
      <c r="D2" s="20">
        <v>150000</v>
      </c>
      <c r="E2" s="20">
        <v>70000</v>
      </c>
      <c r="F2" s="21">
        <v>300000</v>
      </c>
      <c r="G2" s="7"/>
    </row>
    <row r="3" spans="1:9">
      <c r="A3" s="1" t="s">
        <v>22</v>
      </c>
      <c r="B3" s="20">
        <v>1100000</v>
      </c>
      <c r="C3" s="20">
        <v>120000</v>
      </c>
      <c r="D3" s="20">
        <v>200000</v>
      </c>
      <c r="E3" s="20">
        <v>90000</v>
      </c>
      <c r="F3" s="21">
        <v>250000</v>
      </c>
      <c r="G3" s="7"/>
    </row>
    <row r="4" spans="1:9">
      <c r="A4" s="1" t="s">
        <v>23</v>
      </c>
      <c r="B4" s="20">
        <v>1350000</v>
      </c>
      <c r="C4" s="20">
        <v>110000</v>
      </c>
      <c r="D4" s="20">
        <v>0</v>
      </c>
      <c r="E4" s="20">
        <v>0</v>
      </c>
      <c r="F4" s="21">
        <v>250000</v>
      </c>
      <c r="G4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"/>
  <sheetViews>
    <sheetView workbookViewId="0">
      <selection activeCell="F4" sqref="F4"/>
    </sheetView>
  </sheetViews>
  <sheetFormatPr baseColWidth="10" defaultRowHeight="15"/>
  <cols>
    <col min="2" max="2" width="22.7109375" bestFit="1" customWidth="1"/>
    <col min="3" max="3" width="13.140625" bestFit="1" customWidth="1"/>
  </cols>
  <sheetData>
    <row r="1" spans="1:6">
      <c r="A1" t="s">
        <v>16</v>
      </c>
      <c r="B1" t="s">
        <v>36</v>
      </c>
      <c r="D1" t="s">
        <v>47</v>
      </c>
      <c r="E1" t="s">
        <v>50</v>
      </c>
      <c r="F1" t="s">
        <v>49</v>
      </c>
    </row>
    <row r="2" spans="1:6">
      <c r="A2" t="s">
        <v>21</v>
      </c>
      <c r="B2">
        <v>1</v>
      </c>
      <c r="F2">
        <v>1.05</v>
      </c>
    </row>
    <row r="3" spans="1:6">
      <c r="A3" t="s">
        <v>22</v>
      </c>
      <c r="B3">
        <v>1</v>
      </c>
      <c r="F3">
        <v>1.05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7"/>
  <sheetViews>
    <sheetView topLeftCell="A49" workbookViewId="0">
      <selection activeCell="E25" sqref="E25"/>
    </sheetView>
  </sheetViews>
  <sheetFormatPr baseColWidth="10" defaultRowHeight="15"/>
  <cols>
    <col min="6" max="6" width="15.28515625" bestFit="1" customWidth="1"/>
    <col min="7" max="7" width="13.5703125" bestFit="1" customWidth="1"/>
    <col min="8" max="8" width="20.85546875" bestFit="1" customWidth="1"/>
  </cols>
  <sheetData>
    <row r="1" spans="1:8">
      <c r="A1" s="1" t="s">
        <v>0</v>
      </c>
      <c r="B1" s="8" t="s">
        <v>16</v>
      </c>
      <c r="C1" s="8" t="s">
        <v>24</v>
      </c>
      <c r="D1" s="9" t="s">
        <v>37</v>
      </c>
      <c r="G1" t="s">
        <v>48</v>
      </c>
      <c r="H1" t="s">
        <v>49</v>
      </c>
    </row>
    <row r="2" spans="1:8">
      <c r="A2" s="10" t="s">
        <v>12</v>
      </c>
      <c r="B2" s="10" t="s">
        <v>21</v>
      </c>
      <c r="C2" s="11" t="s">
        <v>25</v>
      </c>
      <c r="D2" s="23">
        <f>G2*H2</f>
        <v>25372.924500000001</v>
      </c>
      <c r="G2" s="7">
        <v>24164.69</v>
      </c>
      <c r="H2" s="22">
        <v>1.05</v>
      </c>
    </row>
    <row r="3" spans="1:8">
      <c r="A3" s="12" t="s">
        <v>12</v>
      </c>
      <c r="B3" s="12" t="s">
        <v>21</v>
      </c>
      <c r="C3" t="s">
        <v>26</v>
      </c>
      <c r="D3" s="18">
        <f t="shared" ref="D3:D66" si="0">G3*H3</f>
        <v>82609.08600000001</v>
      </c>
      <c r="G3" s="7">
        <v>78675.320000000007</v>
      </c>
      <c r="H3" s="22">
        <v>1.05</v>
      </c>
    </row>
    <row r="4" spans="1:8">
      <c r="A4" s="12" t="s">
        <v>12</v>
      </c>
      <c r="B4" s="12" t="s">
        <v>21</v>
      </c>
      <c r="C4" t="s">
        <v>27</v>
      </c>
      <c r="D4" s="18">
        <f t="shared" si="0"/>
        <v>155100.6765</v>
      </c>
      <c r="G4" s="7">
        <v>147714.93</v>
      </c>
      <c r="H4" s="22">
        <v>1.05</v>
      </c>
    </row>
    <row r="5" spans="1:8">
      <c r="A5" s="12" t="s">
        <v>12</v>
      </c>
      <c r="B5" s="13" t="s">
        <v>21</v>
      </c>
      <c r="C5" s="14" t="s">
        <v>30</v>
      </c>
      <c r="D5" s="19">
        <f t="shared" si="0"/>
        <v>174886.78200000001</v>
      </c>
      <c r="G5" s="7">
        <v>166558.84</v>
      </c>
      <c r="H5" s="22">
        <v>1.05</v>
      </c>
    </row>
    <row r="6" spans="1:8">
      <c r="A6" s="12" t="s">
        <v>12</v>
      </c>
      <c r="B6" s="10" t="s">
        <v>22</v>
      </c>
      <c r="C6" s="11" t="s">
        <v>25</v>
      </c>
      <c r="D6" s="23">
        <f t="shared" si="0"/>
        <v>115801.17150000001</v>
      </c>
      <c r="G6" s="7">
        <v>110286.83</v>
      </c>
      <c r="H6" s="22">
        <v>1.05</v>
      </c>
    </row>
    <row r="7" spans="1:8">
      <c r="A7" s="12" t="s">
        <v>12</v>
      </c>
      <c r="B7" s="12" t="s">
        <v>22</v>
      </c>
      <c r="C7" t="s">
        <v>26</v>
      </c>
      <c r="D7" s="18">
        <f t="shared" si="0"/>
        <v>85763.286000000007</v>
      </c>
      <c r="G7" s="7">
        <v>81679.320000000007</v>
      </c>
      <c r="H7" s="22">
        <v>1.05</v>
      </c>
    </row>
    <row r="8" spans="1:8">
      <c r="A8" s="12" t="s">
        <v>12</v>
      </c>
      <c r="B8" s="12" t="s">
        <v>22</v>
      </c>
      <c r="C8" t="s">
        <v>27</v>
      </c>
      <c r="D8" s="18">
        <f t="shared" si="0"/>
        <v>109718.406</v>
      </c>
      <c r="G8" s="7">
        <v>104493.72</v>
      </c>
      <c r="H8" s="22">
        <v>1.05</v>
      </c>
    </row>
    <row r="9" spans="1:8">
      <c r="A9" s="12" t="s">
        <v>12</v>
      </c>
      <c r="B9" s="13" t="s">
        <v>22</v>
      </c>
      <c r="C9" s="14" t="s">
        <v>30</v>
      </c>
      <c r="D9" s="19">
        <f t="shared" si="0"/>
        <v>107014.90800000001</v>
      </c>
      <c r="G9" s="7">
        <v>101918.96</v>
      </c>
      <c r="H9" s="22">
        <v>1.05</v>
      </c>
    </row>
    <row r="10" spans="1:8">
      <c r="A10" s="12" t="s">
        <v>12</v>
      </c>
      <c r="B10" s="10" t="s">
        <v>23</v>
      </c>
      <c r="C10" s="11" t="s">
        <v>25</v>
      </c>
      <c r="D10" s="23">
        <f t="shared" si="0"/>
        <v>97121.787000000011</v>
      </c>
      <c r="G10" s="7">
        <v>92496.94</v>
      </c>
      <c r="H10" s="22">
        <v>1.05</v>
      </c>
    </row>
    <row r="11" spans="1:8">
      <c r="A11" s="12" t="s">
        <v>12</v>
      </c>
      <c r="B11" s="12" t="s">
        <v>23</v>
      </c>
      <c r="C11" t="s">
        <v>26</v>
      </c>
      <c r="D11" s="18">
        <f t="shared" si="0"/>
        <v>48599.680500000002</v>
      </c>
      <c r="G11" s="7">
        <v>46285.41</v>
      </c>
      <c r="H11" s="22">
        <v>1.05</v>
      </c>
    </row>
    <row r="12" spans="1:8">
      <c r="A12" s="12" t="s">
        <v>12</v>
      </c>
      <c r="B12" s="12" t="s">
        <v>23</v>
      </c>
      <c r="C12" t="s">
        <v>27</v>
      </c>
      <c r="D12" s="18">
        <f t="shared" si="0"/>
        <v>136957.17000000001</v>
      </c>
      <c r="G12" s="7">
        <v>130435.4</v>
      </c>
      <c r="H12" s="22">
        <v>1.05</v>
      </c>
    </row>
    <row r="13" spans="1:8">
      <c r="A13" s="12" t="s">
        <v>12</v>
      </c>
      <c r="B13" s="13" t="s">
        <v>23</v>
      </c>
      <c r="C13" s="14" t="s">
        <v>30</v>
      </c>
      <c r="D13" s="19">
        <f t="shared" si="0"/>
        <v>123569.15550000001</v>
      </c>
      <c r="G13" s="7">
        <v>117684.91</v>
      </c>
      <c r="H13" s="22">
        <v>1.05</v>
      </c>
    </row>
    <row r="14" spans="1:8">
      <c r="A14" s="15" t="s">
        <v>13</v>
      </c>
      <c r="B14" s="11" t="s">
        <v>21</v>
      </c>
      <c r="C14" s="11" t="s">
        <v>25</v>
      </c>
      <c r="D14" s="23">
        <f t="shared" si="0"/>
        <v>25372.924500000001</v>
      </c>
      <c r="G14" s="7">
        <v>24164.69</v>
      </c>
      <c r="H14" s="22">
        <v>1.05</v>
      </c>
    </row>
    <row r="15" spans="1:8">
      <c r="A15" s="16" t="s">
        <v>13</v>
      </c>
      <c r="B15" t="s">
        <v>21</v>
      </c>
      <c r="C15" t="s">
        <v>26</v>
      </c>
      <c r="D15" s="18">
        <f t="shared" si="0"/>
        <v>82609.08600000001</v>
      </c>
      <c r="G15" s="7">
        <v>78675.320000000007</v>
      </c>
      <c r="H15" s="22">
        <v>1.05</v>
      </c>
    </row>
    <row r="16" spans="1:8">
      <c r="A16" s="16" t="s">
        <v>13</v>
      </c>
      <c r="B16" t="s">
        <v>21</v>
      </c>
      <c r="C16" t="s">
        <v>27</v>
      </c>
      <c r="D16" s="18">
        <f t="shared" si="0"/>
        <v>155100.6765</v>
      </c>
      <c r="G16" s="7">
        <v>147714.93</v>
      </c>
      <c r="H16" s="22">
        <v>1.05</v>
      </c>
    </row>
    <row r="17" spans="1:8">
      <c r="A17" s="16" t="s">
        <v>13</v>
      </c>
      <c r="B17" s="14" t="s">
        <v>21</v>
      </c>
      <c r="C17" s="14" t="s">
        <v>30</v>
      </c>
      <c r="D17" s="19">
        <f t="shared" si="0"/>
        <v>174886.78200000001</v>
      </c>
      <c r="G17" s="7">
        <v>166558.84</v>
      </c>
      <c r="H17" s="22">
        <v>1.05</v>
      </c>
    </row>
    <row r="18" spans="1:8">
      <c r="A18" s="16" t="s">
        <v>13</v>
      </c>
      <c r="B18" s="11" t="s">
        <v>22</v>
      </c>
      <c r="C18" s="11" t="s">
        <v>25</v>
      </c>
      <c r="D18" s="23">
        <f t="shared" si="0"/>
        <v>115801.17150000001</v>
      </c>
      <c r="G18" s="7">
        <v>110286.83</v>
      </c>
      <c r="H18" s="22">
        <v>1.05</v>
      </c>
    </row>
    <row r="19" spans="1:8">
      <c r="A19" s="16" t="s">
        <v>13</v>
      </c>
      <c r="B19" t="s">
        <v>22</v>
      </c>
      <c r="C19" t="s">
        <v>26</v>
      </c>
      <c r="D19" s="18">
        <f t="shared" si="0"/>
        <v>85763.286000000007</v>
      </c>
      <c r="G19" s="7">
        <v>81679.320000000007</v>
      </c>
      <c r="H19" s="22">
        <v>1.05</v>
      </c>
    </row>
    <row r="20" spans="1:8">
      <c r="A20" s="16" t="s">
        <v>13</v>
      </c>
      <c r="B20" t="s">
        <v>22</v>
      </c>
      <c r="C20" t="s">
        <v>27</v>
      </c>
      <c r="D20" s="18">
        <f t="shared" si="0"/>
        <v>109718.406</v>
      </c>
      <c r="G20" s="7">
        <v>104493.72</v>
      </c>
      <c r="H20" s="22">
        <v>1.05</v>
      </c>
    </row>
    <row r="21" spans="1:8">
      <c r="A21" s="16" t="s">
        <v>13</v>
      </c>
      <c r="B21" s="14" t="s">
        <v>22</v>
      </c>
      <c r="C21" s="14" t="s">
        <v>30</v>
      </c>
      <c r="D21" s="19">
        <f t="shared" si="0"/>
        <v>107014.90800000001</v>
      </c>
      <c r="G21" s="7">
        <v>101918.96</v>
      </c>
      <c r="H21" s="22">
        <v>1.05</v>
      </c>
    </row>
    <row r="22" spans="1:8">
      <c r="A22" s="16" t="s">
        <v>13</v>
      </c>
      <c r="B22" s="11" t="s">
        <v>23</v>
      </c>
      <c r="C22" s="11" t="s">
        <v>25</v>
      </c>
      <c r="D22" s="23">
        <f t="shared" si="0"/>
        <v>97121.787000000011</v>
      </c>
      <c r="G22" s="7">
        <v>92496.94</v>
      </c>
      <c r="H22" s="22">
        <v>1.05</v>
      </c>
    </row>
    <row r="23" spans="1:8">
      <c r="A23" s="16" t="s">
        <v>13</v>
      </c>
      <c r="B23" t="s">
        <v>23</v>
      </c>
      <c r="C23" t="s">
        <v>26</v>
      </c>
      <c r="D23" s="18">
        <f t="shared" si="0"/>
        <v>48599.680500000002</v>
      </c>
      <c r="G23" s="7">
        <v>46285.41</v>
      </c>
      <c r="H23" s="22">
        <v>1.05</v>
      </c>
    </row>
    <row r="24" spans="1:8">
      <c r="A24" s="16" t="s">
        <v>13</v>
      </c>
      <c r="B24" t="s">
        <v>23</v>
      </c>
      <c r="C24" t="s">
        <v>27</v>
      </c>
      <c r="D24" s="18">
        <f t="shared" si="0"/>
        <v>136957.17000000001</v>
      </c>
      <c r="G24" s="7">
        <v>130435.4</v>
      </c>
      <c r="H24" s="22">
        <v>1.05</v>
      </c>
    </row>
    <row r="25" spans="1:8">
      <c r="A25" s="17" t="s">
        <v>13</v>
      </c>
      <c r="B25" s="14" t="s">
        <v>23</v>
      </c>
      <c r="C25" s="14" t="s">
        <v>30</v>
      </c>
      <c r="D25" s="19">
        <f t="shared" si="0"/>
        <v>123569.15550000001</v>
      </c>
      <c r="G25" s="7">
        <v>117684.91</v>
      </c>
      <c r="H25" s="22">
        <v>1.05</v>
      </c>
    </row>
    <row r="26" spans="1:8">
      <c r="A26" s="12" t="s">
        <v>14</v>
      </c>
      <c r="B26" s="10" t="s">
        <v>21</v>
      </c>
      <c r="C26" s="11" t="s">
        <v>25</v>
      </c>
      <c r="D26" s="23">
        <f t="shared" si="0"/>
        <v>24164.69</v>
      </c>
      <c r="G26" s="7">
        <v>24164.69</v>
      </c>
      <c r="H26" s="22">
        <v>1</v>
      </c>
    </row>
    <row r="27" spans="1:8">
      <c r="A27" s="12" t="s">
        <v>14</v>
      </c>
      <c r="B27" s="12" t="s">
        <v>21</v>
      </c>
      <c r="C27" t="s">
        <v>26</v>
      </c>
      <c r="D27" s="18">
        <f t="shared" si="0"/>
        <v>78675.320000000007</v>
      </c>
      <c r="G27" s="7">
        <v>78675.320000000007</v>
      </c>
      <c r="H27" s="22">
        <v>1</v>
      </c>
    </row>
    <row r="28" spans="1:8">
      <c r="A28" s="12" t="s">
        <v>14</v>
      </c>
      <c r="B28" s="12" t="s">
        <v>21</v>
      </c>
      <c r="C28" t="s">
        <v>27</v>
      </c>
      <c r="D28" s="18">
        <f t="shared" si="0"/>
        <v>147714.93</v>
      </c>
      <c r="G28" s="7">
        <v>147714.93</v>
      </c>
      <c r="H28" s="22">
        <v>1</v>
      </c>
    </row>
    <row r="29" spans="1:8">
      <c r="A29" s="12" t="s">
        <v>14</v>
      </c>
      <c r="B29" s="13" t="s">
        <v>21</v>
      </c>
      <c r="C29" s="14" t="s">
        <v>30</v>
      </c>
      <c r="D29" s="19">
        <f t="shared" si="0"/>
        <v>166558.84</v>
      </c>
      <c r="G29" s="7">
        <v>166558.84</v>
      </c>
      <c r="H29" s="22">
        <v>1</v>
      </c>
    </row>
    <row r="30" spans="1:8">
      <c r="A30" s="12" t="s">
        <v>14</v>
      </c>
      <c r="B30" s="10" t="s">
        <v>22</v>
      </c>
      <c r="C30" s="11" t="s">
        <v>25</v>
      </c>
      <c r="D30" s="23">
        <f t="shared" si="0"/>
        <v>110286.83</v>
      </c>
      <c r="G30" s="7">
        <v>110286.83</v>
      </c>
      <c r="H30" s="22">
        <v>1</v>
      </c>
    </row>
    <row r="31" spans="1:8">
      <c r="A31" s="12" t="s">
        <v>14</v>
      </c>
      <c r="B31" s="12" t="s">
        <v>22</v>
      </c>
      <c r="C31" t="s">
        <v>26</v>
      </c>
      <c r="D31" s="18">
        <f t="shared" si="0"/>
        <v>81679.320000000007</v>
      </c>
      <c r="G31" s="7">
        <v>81679.320000000007</v>
      </c>
      <c r="H31" s="22">
        <v>1</v>
      </c>
    </row>
    <row r="32" spans="1:8">
      <c r="A32" s="12" t="s">
        <v>14</v>
      </c>
      <c r="B32" s="12" t="s">
        <v>22</v>
      </c>
      <c r="C32" t="s">
        <v>27</v>
      </c>
      <c r="D32" s="18">
        <f t="shared" si="0"/>
        <v>104493.72</v>
      </c>
      <c r="G32" s="7">
        <v>104493.72</v>
      </c>
      <c r="H32" s="22">
        <v>1</v>
      </c>
    </row>
    <row r="33" spans="1:8">
      <c r="A33" s="12" t="s">
        <v>14</v>
      </c>
      <c r="B33" s="13" t="s">
        <v>22</v>
      </c>
      <c r="C33" s="14" t="s">
        <v>30</v>
      </c>
      <c r="D33" s="19">
        <f t="shared" si="0"/>
        <v>101918.96</v>
      </c>
      <c r="G33" s="7">
        <v>101918.96</v>
      </c>
      <c r="H33" s="22">
        <v>1</v>
      </c>
    </row>
    <row r="34" spans="1:8">
      <c r="A34" s="12" t="s">
        <v>14</v>
      </c>
      <c r="B34" s="10" t="s">
        <v>23</v>
      </c>
      <c r="C34" s="11" t="s">
        <v>25</v>
      </c>
      <c r="D34" s="23">
        <f t="shared" si="0"/>
        <v>92496.94</v>
      </c>
      <c r="G34" s="7">
        <v>92496.94</v>
      </c>
      <c r="H34" s="22">
        <v>1</v>
      </c>
    </row>
    <row r="35" spans="1:8">
      <c r="A35" s="12" t="s">
        <v>14</v>
      </c>
      <c r="B35" s="12" t="s">
        <v>23</v>
      </c>
      <c r="C35" t="s">
        <v>26</v>
      </c>
      <c r="D35" s="18">
        <f t="shared" si="0"/>
        <v>46285.41</v>
      </c>
      <c r="G35" s="7">
        <v>46285.41</v>
      </c>
      <c r="H35" s="22">
        <v>1</v>
      </c>
    </row>
    <row r="36" spans="1:8">
      <c r="A36" s="12" t="s">
        <v>14</v>
      </c>
      <c r="B36" s="12" t="s">
        <v>23</v>
      </c>
      <c r="C36" t="s">
        <v>27</v>
      </c>
      <c r="D36" s="18">
        <f t="shared" si="0"/>
        <v>130435.4</v>
      </c>
      <c r="G36" s="7">
        <v>130435.4</v>
      </c>
      <c r="H36" s="22">
        <v>1</v>
      </c>
    </row>
    <row r="37" spans="1:8">
      <c r="A37" s="13" t="s">
        <v>14</v>
      </c>
      <c r="B37" s="13" t="s">
        <v>23</v>
      </c>
      <c r="C37" s="14" t="s">
        <v>30</v>
      </c>
      <c r="D37" s="19">
        <f t="shared" si="0"/>
        <v>117684.91</v>
      </c>
      <c r="G37" s="7">
        <v>117684.91</v>
      </c>
      <c r="H37" s="22">
        <v>1</v>
      </c>
    </row>
    <row r="38" spans="1:8">
      <c r="A38" s="10" t="s">
        <v>15</v>
      </c>
      <c r="B38" s="10" t="s">
        <v>21</v>
      </c>
      <c r="C38" s="11" t="s">
        <v>25</v>
      </c>
      <c r="D38" s="23">
        <f t="shared" si="0"/>
        <v>24164.69</v>
      </c>
      <c r="G38" s="7">
        <v>24164.69</v>
      </c>
      <c r="H38" s="22">
        <v>1</v>
      </c>
    </row>
    <row r="39" spans="1:8">
      <c r="A39" s="12" t="s">
        <v>15</v>
      </c>
      <c r="B39" s="12" t="s">
        <v>21</v>
      </c>
      <c r="C39" t="s">
        <v>26</v>
      </c>
      <c r="D39" s="18">
        <f t="shared" si="0"/>
        <v>78675.320000000007</v>
      </c>
      <c r="G39" s="7">
        <v>78675.320000000007</v>
      </c>
      <c r="H39" s="22">
        <v>1</v>
      </c>
    </row>
    <row r="40" spans="1:8">
      <c r="A40" s="12" t="s">
        <v>15</v>
      </c>
      <c r="B40" s="12" t="s">
        <v>21</v>
      </c>
      <c r="C40" t="s">
        <v>27</v>
      </c>
      <c r="D40" s="18">
        <f t="shared" si="0"/>
        <v>147714.93</v>
      </c>
      <c r="G40" s="7">
        <v>147714.93</v>
      </c>
      <c r="H40" s="22">
        <v>1</v>
      </c>
    </row>
    <row r="41" spans="1:8">
      <c r="A41" s="12" t="s">
        <v>15</v>
      </c>
      <c r="B41" s="13" t="s">
        <v>21</v>
      </c>
      <c r="C41" s="14" t="s">
        <v>30</v>
      </c>
      <c r="D41" s="19">
        <f t="shared" si="0"/>
        <v>166558.84</v>
      </c>
      <c r="G41" s="7">
        <v>166558.84</v>
      </c>
      <c r="H41" s="22">
        <v>1</v>
      </c>
    </row>
    <row r="42" spans="1:8">
      <c r="A42" s="12" t="s">
        <v>15</v>
      </c>
      <c r="B42" s="10" t="s">
        <v>22</v>
      </c>
      <c r="C42" s="11" t="s">
        <v>25</v>
      </c>
      <c r="D42" s="23">
        <f t="shared" si="0"/>
        <v>110286.83</v>
      </c>
      <c r="G42" s="7">
        <v>110286.83</v>
      </c>
      <c r="H42" s="22">
        <v>1</v>
      </c>
    </row>
    <row r="43" spans="1:8">
      <c r="A43" s="12" t="s">
        <v>15</v>
      </c>
      <c r="B43" s="12" t="s">
        <v>22</v>
      </c>
      <c r="C43" t="s">
        <v>26</v>
      </c>
      <c r="D43" s="18">
        <f t="shared" si="0"/>
        <v>81679.320000000007</v>
      </c>
      <c r="G43" s="7">
        <v>81679.320000000007</v>
      </c>
      <c r="H43" s="22">
        <v>1</v>
      </c>
    </row>
    <row r="44" spans="1:8">
      <c r="A44" s="12" t="s">
        <v>15</v>
      </c>
      <c r="B44" s="12" t="s">
        <v>22</v>
      </c>
      <c r="C44" t="s">
        <v>27</v>
      </c>
      <c r="D44" s="18">
        <f t="shared" si="0"/>
        <v>104493.72</v>
      </c>
      <c r="G44" s="7">
        <v>104493.72</v>
      </c>
      <c r="H44" s="22">
        <v>1</v>
      </c>
    </row>
    <row r="45" spans="1:8">
      <c r="A45" s="12" t="s">
        <v>15</v>
      </c>
      <c r="B45" s="13" t="s">
        <v>22</v>
      </c>
      <c r="C45" s="14" t="s">
        <v>30</v>
      </c>
      <c r="D45" s="19">
        <f t="shared" si="0"/>
        <v>101918.96</v>
      </c>
      <c r="G45" s="7">
        <v>101918.96</v>
      </c>
      <c r="H45" s="22">
        <v>1</v>
      </c>
    </row>
    <row r="46" spans="1:8">
      <c r="A46" s="12" t="s">
        <v>15</v>
      </c>
      <c r="B46" s="10" t="s">
        <v>23</v>
      </c>
      <c r="C46" s="11" t="s">
        <v>25</v>
      </c>
      <c r="D46" s="23">
        <f t="shared" si="0"/>
        <v>92496.94</v>
      </c>
      <c r="G46" s="7">
        <v>92496.94</v>
      </c>
      <c r="H46" s="22">
        <v>1</v>
      </c>
    </row>
    <row r="47" spans="1:8">
      <c r="A47" s="12" t="s">
        <v>15</v>
      </c>
      <c r="B47" s="12" t="s">
        <v>23</v>
      </c>
      <c r="C47" t="s">
        <v>26</v>
      </c>
      <c r="D47" s="18">
        <f t="shared" si="0"/>
        <v>46285.41</v>
      </c>
      <c r="G47" s="7">
        <v>46285.41</v>
      </c>
      <c r="H47" s="22">
        <v>1</v>
      </c>
    </row>
    <row r="48" spans="1:8">
      <c r="A48" s="12" t="s">
        <v>15</v>
      </c>
      <c r="B48" s="12" t="s">
        <v>23</v>
      </c>
      <c r="C48" t="s">
        <v>27</v>
      </c>
      <c r="D48" s="18">
        <f t="shared" si="0"/>
        <v>130435.4</v>
      </c>
      <c r="G48" s="7">
        <v>130435.4</v>
      </c>
      <c r="H48" s="22">
        <v>1</v>
      </c>
    </row>
    <row r="49" spans="1:8">
      <c r="A49" s="13" t="s">
        <v>15</v>
      </c>
      <c r="B49" s="13" t="s">
        <v>23</v>
      </c>
      <c r="C49" s="14" t="s">
        <v>30</v>
      </c>
      <c r="D49" s="19">
        <f t="shared" si="0"/>
        <v>117684.91</v>
      </c>
      <c r="G49" s="7">
        <v>117684.91</v>
      </c>
      <c r="H49" s="22">
        <v>1</v>
      </c>
    </row>
    <row r="50" spans="1:8">
      <c r="A50" s="10" t="s">
        <v>5</v>
      </c>
      <c r="B50" s="10" t="s">
        <v>21</v>
      </c>
      <c r="C50" s="11" t="s">
        <v>25</v>
      </c>
      <c r="D50" s="23">
        <f t="shared" si="0"/>
        <v>25372.924500000001</v>
      </c>
      <c r="G50" s="7">
        <v>24164.69</v>
      </c>
      <c r="H50" s="22">
        <v>1.05</v>
      </c>
    </row>
    <row r="51" spans="1:8">
      <c r="A51" s="12" t="s">
        <v>5</v>
      </c>
      <c r="B51" s="12" t="s">
        <v>21</v>
      </c>
      <c r="C51" t="s">
        <v>26</v>
      </c>
      <c r="D51" s="18">
        <f t="shared" si="0"/>
        <v>82609.08600000001</v>
      </c>
      <c r="G51" s="7">
        <v>78675.320000000007</v>
      </c>
      <c r="H51" s="22">
        <v>1.05</v>
      </c>
    </row>
    <row r="52" spans="1:8">
      <c r="A52" s="12" t="s">
        <v>5</v>
      </c>
      <c r="B52" s="12" t="s">
        <v>21</v>
      </c>
      <c r="C52" t="s">
        <v>27</v>
      </c>
      <c r="D52" s="18">
        <f t="shared" si="0"/>
        <v>155100.6765</v>
      </c>
      <c r="G52" s="7">
        <v>147714.93</v>
      </c>
      <c r="H52" s="22">
        <v>1.05</v>
      </c>
    </row>
    <row r="53" spans="1:8">
      <c r="A53" s="12" t="s">
        <v>5</v>
      </c>
      <c r="B53" s="13" t="s">
        <v>21</v>
      </c>
      <c r="C53" s="14" t="s">
        <v>30</v>
      </c>
      <c r="D53" s="19">
        <f t="shared" si="0"/>
        <v>174886.78200000001</v>
      </c>
      <c r="G53" s="7">
        <v>166558.84</v>
      </c>
      <c r="H53" s="22">
        <v>1.05</v>
      </c>
    </row>
    <row r="54" spans="1:8">
      <c r="A54" s="12" t="s">
        <v>5</v>
      </c>
      <c r="B54" s="10" t="s">
        <v>22</v>
      </c>
      <c r="C54" s="11" t="s">
        <v>25</v>
      </c>
      <c r="D54" s="23">
        <f t="shared" si="0"/>
        <v>115801.17150000001</v>
      </c>
      <c r="G54" s="7">
        <v>110286.83</v>
      </c>
      <c r="H54" s="22">
        <v>1.05</v>
      </c>
    </row>
    <row r="55" spans="1:8">
      <c r="A55" s="12" t="s">
        <v>5</v>
      </c>
      <c r="B55" s="12" t="s">
        <v>22</v>
      </c>
      <c r="C55" t="s">
        <v>26</v>
      </c>
      <c r="D55" s="18">
        <f t="shared" si="0"/>
        <v>85763.286000000007</v>
      </c>
      <c r="G55" s="7">
        <v>81679.320000000007</v>
      </c>
      <c r="H55" s="22">
        <v>1.05</v>
      </c>
    </row>
    <row r="56" spans="1:8">
      <c r="A56" s="12" t="s">
        <v>5</v>
      </c>
      <c r="B56" s="12" t="s">
        <v>22</v>
      </c>
      <c r="C56" t="s">
        <v>27</v>
      </c>
      <c r="D56" s="18">
        <f t="shared" si="0"/>
        <v>109718.406</v>
      </c>
      <c r="G56" s="7">
        <v>104493.72</v>
      </c>
      <c r="H56" s="22">
        <v>1.05</v>
      </c>
    </row>
    <row r="57" spans="1:8">
      <c r="A57" s="12" t="s">
        <v>5</v>
      </c>
      <c r="B57" s="13" t="s">
        <v>22</v>
      </c>
      <c r="C57" s="14" t="s">
        <v>30</v>
      </c>
      <c r="D57" s="19">
        <f t="shared" si="0"/>
        <v>107014.90800000001</v>
      </c>
      <c r="G57" s="7">
        <v>101918.96</v>
      </c>
      <c r="H57" s="22">
        <v>1.05</v>
      </c>
    </row>
    <row r="58" spans="1:8">
      <c r="A58" s="12" t="s">
        <v>5</v>
      </c>
      <c r="B58" s="10" t="s">
        <v>23</v>
      </c>
      <c r="C58" s="11" t="s">
        <v>25</v>
      </c>
      <c r="D58" s="23">
        <f t="shared" si="0"/>
        <v>97121.787000000011</v>
      </c>
      <c r="G58" s="7">
        <v>92496.94</v>
      </c>
      <c r="H58" s="22">
        <v>1.05</v>
      </c>
    </row>
    <row r="59" spans="1:8">
      <c r="A59" s="12" t="s">
        <v>5</v>
      </c>
      <c r="B59" s="12" t="s">
        <v>23</v>
      </c>
      <c r="C59" t="s">
        <v>26</v>
      </c>
      <c r="D59" s="18">
        <f t="shared" si="0"/>
        <v>48599.680500000002</v>
      </c>
      <c r="G59" s="7">
        <v>46285.41</v>
      </c>
      <c r="H59" s="22">
        <v>1.05</v>
      </c>
    </row>
    <row r="60" spans="1:8">
      <c r="A60" s="12" t="s">
        <v>5</v>
      </c>
      <c r="B60" s="12" t="s">
        <v>23</v>
      </c>
      <c r="C60" t="s">
        <v>27</v>
      </c>
      <c r="D60" s="18">
        <f t="shared" si="0"/>
        <v>136957.17000000001</v>
      </c>
      <c r="G60" s="7">
        <v>130435.4</v>
      </c>
      <c r="H60" s="22">
        <v>1.05</v>
      </c>
    </row>
    <row r="61" spans="1:8">
      <c r="A61" s="13" t="s">
        <v>5</v>
      </c>
      <c r="B61" s="13" t="s">
        <v>23</v>
      </c>
      <c r="C61" s="14" t="s">
        <v>30</v>
      </c>
      <c r="D61" s="19">
        <f t="shared" si="0"/>
        <v>123569.15550000001</v>
      </c>
      <c r="G61" s="7">
        <v>117684.91</v>
      </c>
      <c r="H61" s="22">
        <v>1.05</v>
      </c>
    </row>
    <row r="62" spans="1:8">
      <c r="A62" s="10" t="s">
        <v>6</v>
      </c>
      <c r="B62" s="10" t="s">
        <v>21</v>
      </c>
      <c r="C62" s="11" t="s">
        <v>25</v>
      </c>
      <c r="D62" s="23">
        <f t="shared" si="0"/>
        <v>25372.924500000001</v>
      </c>
      <c r="G62" s="7">
        <v>24164.69</v>
      </c>
      <c r="H62" s="22">
        <v>1.05</v>
      </c>
    </row>
    <row r="63" spans="1:8">
      <c r="A63" s="12" t="s">
        <v>6</v>
      </c>
      <c r="B63" s="12" t="s">
        <v>21</v>
      </c>
      <c r="C63" t="s">
        <v>26</v>
      </c>
      <c r="D63" s="18">
        <f t="shared" si="0"/>
        <v>82609.08600000001</v>
      </c>
      <c r="G63" s="7">
        <v>78675.320000000007</v>
      </c>
      <c r="H63" s="22">
        <v>1.05</v>
      </c>
    </row>
    <row r="64" spans="1:8">
      <c r="A64" s="12" t="s">
        <v>6</v>
      </c>
      <c r="B64" s="12" t="s">
        <v>21</v>
      </c>
      <c r="C64" t="s">
        <v>27</v>
      </c>
      <c r="D64" s="18">
        <f t="shared" si="0"/>
        <v>155100.6765</v>
      </c>
      <c r="G64" s="7">
        <v>147714.93</v>
      </c>
      <c r="H64" s="22">
        <v>1.05</v>
      </c>
    </row>
    <row r="65" spans="1:8">
      <c r="A65" s="12" t="s">
        <v>6</v>
      </c>
      <c r="B65" s="13" t="s">
        <v>21</v>
      </c>
      <c r="C65" s="14" t="s">
        <v>30</v>
      </c>
      <c r="D65" s="19">
        <f t="shared" si="0"/>
        <v>174886.78200000001</v>
      </c>
      <c r="G65" s="7">
        <v>166558.84</v>
      </c>
      <c r="H65" s="22">
        <v>1.05</v>
      </c>
    </row>
    <row r="66" spans="1:8">
      <c r="A66" s="12" t="s">
        <v>6</v>
      </c>
      <c r="B66" s="10" t="s">
        <v>22</v>
      </c>
      <c r="C66" s="11" t="s">
        <v>25</v>
      </c>
      <c r="D66" s="23">
        <f t="shared" si="0"/>
        <v>115801.17150000001</v>
      </c>
      <c r="G66" s="7">
        <v>110286.83</v>
      </c>
      <c r="H66" s="22">
        <v>1.05</v>
      </c>
    </row>
    <row r="67" spans="1:8">
      <c r="A67" s="12" t="s">
        <v>6</v>
      </c>
      <c r="B67" s="12" t="s">
        <v>22</v>
      </c>
      <c r="C67" t="s">
        <v>26</v>
      </c>
      <c r="D67" s="18">
        <f t="shared" ref="D67:D97" si="1">G67*H67</f>
        <v>85763.286000000007</v>
      </c>
      <c r="G67" s="7">
        <v>81679.320000000007</v>
      </c>
      <c r="H67" s="22">
        <v>1.05</v>
      </c>
    </row>
    <row r="68" spans="1:8">
      <c r="A68" s="12" t="s">
        <v>6</v>
      </c>
      <c r="B68" s="12" t="s">
        <v>22</v>
      </c>
      <c r="C68" t="s">
        <v>27</v>
      </c>
      <c r="D68" s="18">
        <f t="shared" si="1"/>
        <v>109718.406</v>
      </c>
      <c r="G68" s="7">
        <v>104493.72</v>
      </c>
      <c r="H68" s="22">
        <v>1.05</v>
      </c>
    </row>
    <row r="69" spans="1:8">
      <c r="A69" s="12" t="s">
        <v>6</v>
      </c>
      <c r="B69" s="13" t="s">
        <v>22</v>
      </c>
      <c r="C69" s="14" t="s">
        <v>30</v>
      </c>
      <c r="D69" s="19">
        <f t="shared" si="1"/>
        <v>107014.90800000001</v>
      </c>
      <c r="G69" s="7">
        <v>101918.96</v>
      </c>
      <c r="H69" s="22">
        <v>1.05</v>
      </c>
    </row>
    <row r="70" spans="1:8">
      <c r="A70" s="12" t="s">
        <v>6</v>
      </c>
      <c r="B70" s="10" t="s">
        <v>23</v>
      </c>
      <c r="C70" s="11" t="s">
        <v>25</v>
      </c>
      <c r="D70" s="23">
        <f t="shared" si="1"/>
        <v>97121.787000000011</v>
      </c>
      <c r="G70" s="7">
        <v>92496.94</v>
      </c>
      <c r="H70" s="22">
        <v>1.05</v>
      </c>
    </row>
    <row r="71" spans="1:8">
      <c r="A71" s="12" t="s">
        <v>6</v>
      </c>
      <c r="B71" s="12" t="s">
        <v>23</v>
      </c>
      <c r="C71" t="s">
        <v>26</v>
      </c>
      <c r="D71" s="18">
        <f t="shared" si="1"/>
        <v>48599.680500000002</v>
      </c>
      <c r="G71" s="7">
        <v>46285.41</v>
      </c>
      <c r="H71" s="22">
        <v>1.05</v>
      </c>
    </row>
    <row r="72" spans="1:8">
      <c r="A72" s="12" t="s">
        <v>6</v>
      </c>
      <c r="B72" s="12" t="s">
        <v>23</v>
      </c>
      <c r="C72" t="s">
        <v>27</v>
      </c>
      <c r="D72" s="18">
        <f t="shared" si="1"/>
        <v>136957.17000000001</v>
      </c>
      <c r="G72" s="7">
        <v>130435.4</v>
      </c>
      <c r="H72" s="22">
        <v>1.05</v>
      </c>
    </row>
    <row r="73" spans="1:8">
      <c r="A73" s="13" t="s">
        <v>6</v>
      </c>
      <c r="B73" s="13" t="s">
        <v>23</v>
      </c>
      <c r="C73" s="14" t="s">
        <v>30</v>
      </c>
      <c r="D73" s="19">
        <f t="shared" si="1"/>
        <v>123569.15550000001</v>
      </c>
      <c r="G73" s="7">
        <v>117684.91</v>
      </c>
      <c r="H73" s="22">
        <v>1.05</v>
      </c>
    </row>
    <row r="74" spans="1:8">
      <c r="A74" s="10" t="s">
        <v>31</v>
      </c>
      <c r="B74" s="10" t="s">
        <v>21</v>
      </c>
      <c r="C74" s="11" t="s">
        <v>25</v>
      </c>
      <c r="D74" s="23">
        <f t="shared" si="1"/>
        <v>25372.924500000001</v>
      </c>
      <c r="G74" s="7">
        <v>24164.69</v>
      </c>
      <c r="H74" s="22">
        <v>1.05</v>
      </c>
    </row>
    <row r="75" spans="1:8">
      <c r="A75" s="12" t="s">
        <v>31</v>
      </c>
      <c r="B75" s="12" t="s">
        <v>21</v>
      </c>
      <c r="C75" t="s">
        <v>26</v>
      </c>
      <c r="D75" s="18">
        <f t="shared" si="1"/>
        <v>82609.08600000001</v>
      </c>
      <c r="G75" s="7">
        <v>78675.320000000007</v>
      </c>
      <c r="H75" s="22">
        <v>1.05</v>
      </c>
    </row>
    <row r="76" spans="1:8">
      <c r="A76" s="12" t="s">
        <v>31</v>
      </c>
      <c r="B76" s="12" t="s">
        <v>21</v>
      </c>
      <c r="C76" t="s">
        <v>27</v>
      </c>
      <c r="D76" s="18">
        <f t="shared" si="1"/>
        <v>155100.6765</v>
      </c>
      <c r="G76" s="7">
        <v>147714.93</v>
      </c>
      <c r="H76" s="22">
        <v>1.05</v>
      </c>
    </row>
    <row r="77" spans="1:8">
      <c r="A77" s="12" t="s">
        <v>31</v>
      </c>
      <c r="B77" s="13" t="s">
        <v>21</v>
      </c>
      <c r="C77" s="14" t="s">
        <v>30</v>
      </c>
      <c r="D77" s="19">
        <f t="shared" si="1"/>
        <v>174886.78200000001</v>
      </c>
      <c r="G77" s="7">
        <v>166558.84</v>
      </c>
      <c r="H77" s="22">
        <v>1.05</v>
      </c>
    </row>
    <row r="78" spans="1:8">
      <c r="A78" s="12" t="s">
        <v>31</v>
      </c>
      <c r="B78" s="10" t="s">
        <v>22</v>
      </c>
      <c r="C78" s="11" t="s">
        <v>25</v>
      </c>
      <c r="D78" s="23">
        <f t="shared" si="1"/>
        <v>115801.17150000001</v>
      </c>
      <c r="G78" s="7">
        <v>110286.83</v>
      </c>
      <c r="H78" s="22">
        <v>1.05</v>
      </c>
    </row>
    <row r="79" spans="1:8">
      <c r="A79" s="12" t="s">
        <v>31</v>
      </c>
      <c r="B79" s="12" t="s">
        <v>22</v>
      </c>
      <c r="C79" t="s">
        <v>26</v>
      </c>
      <c r="D79" s="18">
        <f t="shared" si="1"/>
        <v>85763.286000000007</v>
      </c>
      <c r="G79" s="7">
        <v>81679.320000000007</v>
      </c>
      <c r="H79" s="22">
        <v>1.05</v>
      </c>
    </row>
    <row r="80" spans="1:8">
      <c r="A80" s="12" t="s">
        <v>31</v>
      </c>
      <c r="B80" s="12" t="s">
        <v>22</v>
      </c>
      <c r="C80" t="s">
        <v>27</v>
      </c>
      <c r="D80" s="18">
        <f t="shared" si="1"/>
        <v>109718.406</v>
      </c>
      <c r="G80" s="7">
        <v>104493.72</v>
      </c>
      <c r="H80" s="22">
        <v>1.05</v>
      </c>
    </row>
    <row r="81" spans="1:8">
      <c r="A81" s="12" t="s">
        <v>31</v>
      </c>
      <c r="B81" s="13" t="s">
        <v>22</v>
      </c>
      <c r="C81" s="14" t="s">
        <v>30</v>
      </c>
      <c r="D81" s="19">
        <f t="shared" si="1"/>
        <v>107014.90800000001</v>
      </c>
      <c r="G81" s="7">
        <v>101918.96</v>
      </c>
      <c r="H81" s="22">
        <v>1.05</v>
      </c>
    </row>
    <row r="82" spans="1:8">
      <c r="A82" s="12" t="s">
        <v>31</v>
      </c>
      <c r="B82" s="10" t="s">
        <v>23</v>
      </c>
      <c r="C82" s="11" t="s">
        <v>25</v>
      </c>
      <c r="D82" s="23">
        <f t="shared" si="1"/>
        <v>97121.787000000011</v>
      </c>
      <c r="G82" s="7">
        <v>92496.94</v>
      </c>
      <c r="H82" s="22">
        <v>1.05</v>
      </c>
    </row>
    <row r="83" spans="1:8">
      <c r="A83" s="12" t="s">
        <v>31</v>
      </c>
      <c r="B83" s="12" t="s">
        <v>23</v>
      </c>
      <c r="C83" t="s">
        <v>26</v>
      </c>
      <c r="D83" s="18">
        <f t="shared" si="1"/>
        <v>48599.680500000002</v>
      </c>
      <c r="G83" s="7">
        <v>46285.41</v>
      </c>
      <c r="H83" s="22">
        <v>1.05</v>
      </c>
    </row>
    <row r="84" spans="1:8">
      <c r="A84" s="12" t="s">
        <v>31</v>
      </c>
      <c r="B84" s="12" t="s">
        <v>23</v>
      </c>
      <c r="C84" t="s">
        <v>27</v>
      </c>
      <c r="D84" s="18">
        <f t="shared" si="1"/>
        <v>136957.17000000001</v>
      </c>
      <c r="G84" s="7">
        <v>130435.4</v>
      </c>
      <c r="H84" s="22">
        <v>1.05</v>
      </c>
    </row>
    <row r="85" spans="1:8">
      <c r="A85" s="13" t="s">
        <v>31</v>
      </c>
      <c r="B85" s="13" t="s">
        <v>23</v>
      </c>
      <c r="C85" s="14" t="s">
        <v>30</v>
      </c>
      <c r="D85" s="19">
        <f t="shared" si="1"/>
        <v>123569.15550000001</v>
      </c>
      <c r="G85" s="7">
        <v>117684.91</v>
      </c>
      <c r="H85" s="22">
        <v>1.05</v>
      </c>
    </row>
    <row r="86" spans="1:8">
      <c r="A86" s="10" t="s">
        <v>32</v>
      </c>
      <c r="B86" s="10" t="s">
        <v>21</v>
      </c>
      <c r="C86" s="11" t="s">
        <v>25</v>
      </c>
      <c r="D86" s="23">
        <f t="shared" si="1"/>
        <v>25372.924500000001</v>
      </c>
      <c r="G86" s="7">
        <v>24164.69</v>
      </c>
      <c r="H86" s="22">
        <v>1.05</v>
      </c>
    </row>
    <row r="87" spans="1:8">
      <c r="A87" s="12" t="s">
        <v>32</v>
      </c>
      <c r="B87" s="12" t="s">
        <v>21</v>
      </c>
      <c r="C87" t="s">
        <v>26</v>
      </c>
      <c r="D87" s="18">
        <f t="shared" si="1"/>
        <v>82609.08600000001</v>
      </c>
      <c r="G87" s="7">
        <v>78675.320000000007</v>
      </c>
      <c r="H87" s="22">
        <v>1.05</v>
      </c>
    </row>
    <row r="88" spans="1:8">
      <c r="A88" s="12" t="s">
        <v>32</v>
      </c>
      <c r="B88" s="12" t="s">
        <v>21</v>
      </c>
      <c r="C88" t="s">
        <v>27</v>
      </c>
      <c r="D88" s="18">
        <f t="shared" si="1"/>
        <v>155100.6765</v>
      </c>
      <c r="G88" s="7">
        <v>147714.93</v>
      </c>
      <c r="H88" s="22">
        <v>1.05</v>
      </c>
    </row>
    <row r="89" spans="1:8">
      <c r="A89" s="12" t="s">
        <v>32</v>
      </c>
      <c r="B89" s="13" t="s">
        <v>21</v>
      </c>
      <c r="C89" s="14" t="s">
        <v>30</v>
      </c>
      <c r="D89" s="19">
        <f t="shared" si="1"/>
        <v>174886.78200000001</v>
      </c>
      <c r="G89" s="7">
        <v>166558.84</v>
      </c>
      <c r="H89" s="22">
        <v>1.05</v>
      </c>
    </row>
    <row r="90" spans="1:8">
      <c r="A90" s="12" t="s">
        <v>32</v>
      </c>
      <c r="B90" s="10" t="s">
        <v>22</v>
      </c>
      <c r="C90" s="11" t="s">
        <v>25</v>
      </c>
      <c r="D90" s="23">
        <f t="shared" si="1"/>
        <v>115801.17150000001</v>
      </c>
      <c r="G90" s="7">
        <v>110286.83</v>
      </c>
      <c r="H90" s="22">
        <v>1.05</v>
      </c>
    </row>
    <row r="91" spans="1:8">
      <c r="A91" s="12" t="s">
        <v>32</v>
      </c>
      <c r="B91" s="12" t="s">
        <v>22</v>
      </c>
      <c r="C91" t="s">
        <v>26</v>
      </c>
      <c r="D91" s="18">
        <f t="shared" si="1"/>
        <v>85763.286000000007</v>
      </c>
      <c r="G91" s="7">
        <v>81679.320000000007</v>
      </c>
      <c r="H91" s="22">
        <v>1.05</v>
      </c>
    </row>
    <row r="92" spans="1:8">
      <c r="A92" s="12" t="s">
        <v>32</v>
      </c>
      <c r="B92" s="12" t="s">
        <v>22</v>
      </c>
      <c r="C92" t="s">
        <v>27</v>
      </c>
      <c r="D92" s="18">
        <f t="shared" si="1"/>
        <v>109718.406</v>
      </c>
      <c r="G92" s="7">
        <v>104493.72</v>
      </c>
      <c r="H92" s="22">
        <v>1.05</v>
      </c>
    </row>
    <row r="93" spans="1:8">
      <c r="A93" s="12" t="s">
        <v>32</v>
      </c>
      <c r="B93" s="13" t="s">
        <v>22</v>
      </c>
      <c r="C93" s="14" t="s">
        <v>30</v>
      </c>
      <c r="D93" s="19">
        <f t="shared" si="1"/>
        <v>107014.90800000001</v>
      </c>
      <c r="G93" s="7">
        <v>101918.96</v>
      </c>
      <c r="H93" s="22">
        <v>1.05</v>
      </c>
    </row>
    <row r="94" spans="1:8">
      <c r="A94" s="12" t="s">
        <v>32</v>
      </c>
      <c r="B94" s="10" t="s">
        <v>23</v>
      </c>
      <c r="C94" s="11" t="s">
        <v>25</v>
      </c>
      <c r="D94" s="23">
        <f t="shared" si="1"/>
        <v>97121.787000000011</v>
      </c>
      <c r="G94" s="7">
        <v>92496.94</v>
      </c>
      <c r="H94" s="22">
        <v>1.05</v>
      </c>
    </row>
    <row r="95" spans="1:8">
      <c r="A95" s="12" t="s">
        <v>32</v>
      </c>
      <c r="B95" s="12" t="s">
        <v>23</v>
      </c>
      <c r="C95" t="s">
        <v>26</v>
      </c>
      <c r="D95" s="18">
        <f t="shared" si="1"/>
        <v>48599.680500000002</v>
      </c>
      <c r="G95" s="7">
        <v>46285.41</v>
      </c>
      <c r="H95" s="22">
        <v>1.05</v>
      </c>
    </row>
    <row r="96" spans="1:8">
      <c r="A96" s="12" t="s">
        <v>32</v>
      </c>
      <c r="B96" s="12" t="s">
        <v>23</v>
      </c>
      <c r="C96" t="s">
        <v>27</v>
      </c>
      <c r="D96" s="18">
        <f t="shared" si="1"/>
        <v>136957.17000000001</v>
      </c>
      <c r="G96" s="7">
        <v>130435.4</v>
      </c>
      <c r="H96" s="22">
        <v>1.05</v>
      </c>
    </row>
    <row r="97" spans="1:8">
      <c r="A97" s="13" t="s">
        <v>32</v>
      </c>
      <c r="B97" s="13" t="s">
        <v>23</v>
      </c>
      <c r="C97" s="14" t="s">
        <v>30</v>
      </c>
      <c r="D97" s="19">
        <f t="shared" si="1"/>
        <v>123569.15550000001</v>
      </c>
      <c r="G97" s="7">
        <v>117684.91</v>
      </c>
      <c r="H97" s="22">
        <v>1.05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3"/>
  <sheetViews>
    <sheetView tabSelected="1" workbookViewId="0">
      <selection activeCell="G11" sqref="G11"/>
    </sheetView>
  </sheetViews>
  <sheetFormatPr baseColWidth="10" defaultRowHeight="15"/>
  <cols>
    <col min="6" max="6" width="27.28515625" customWidth="1"/>
    <col min="7" max="7" width="21.7109375" bestFit="1" customWidth="1"/>
  </cols>
  <sheetData>
    <row r="1" spans="1:11">
      <c r="A1" s="1" t="s">
        <v>0</v>
      </c>
      <c r="B1" s="8" t="s">
        <v>38</v>
      </c>
      <c r="C1" s="9" t="s">
        <v>39</v>
      </c>
      <c r="F1" s="24" t="s">
        <v>40</v>
      </c>
      <c r="G1" s="25"/>
    </row>
    <row r="2" spans="1:11">
      <c r="A2" s="10" t="s">
        <v>12</v>
      </c>
      <c r="B2" s="11" t="s">
        <v>25</v>
      </c>
      <c r="C2" s="23">
        <f>$G$9*$G$2*$G3</f>
        <v>546191.91</v>
      </c>
      <c r="F2" s="2" t="s">
        <v>7</v>
      </c>
      <c r="G2" s="3">
        <v>0.03</v>
      </c>
      <c r="K2" t="s">
        <v>51</v>
      </c>
    </row>
    <row r="3" spans="1:11">
      <c r="A3" s="12" t="s">
        <v>12</v>
      </c>
      <c r="B3" t="s">
        <v>26</v>
      </c>
      <c r="C3" s="18">
        <f>$G$9*$G$2*$G4</f>
        <v>303439.95</v>
      </c>
      <c r="F3" s="1" t="s">
        <v>8</v>
      </c>
      <c r="G3" s="3">
        <v>0.45</v>
      </c>
      <c r="K3" t="s">
        <v>52</v>
      </c>
    </row>
    <row r="4" spans="1:11">
      <c r="A4" s="12" t="s">
        <v>12</v>
      </c>
      <c r="B4" t="s">
        <v>27</v>
      </c>
      <c r="C4" s="18">
        <f>$G$9*$G$2*$G5</f>
        <v>218476.764</v>
      </c>
      <c r="F4" s="1" t="s">
        <v>9</v>
      </c>
      <c r="G4" s="3">
        <v>0.25</v>
      </c>
      <c r="K4" t="s">
        <v>53</v>
      </c>
    </row>
    <row r="5" spans="1:11">
      <c r="A5" s="13" t="s">
        <v>12</v>
      </c>
      <c r="B5" s="14" t="s">
        <v>30</v>
      </c>
      <c r="C5" s="19">
        <f>$G$9*$G$2*$G6</f>
        <v>145651.17600000001</v>
      </c>
      <c r="F5" s="1" t="s">
        <v>10</v>
      </c>
      <c r="G5" s="3">
        <v>0.18</v>
      </c>
      <c r="K5" t="s">
        <v>54</v>
      </c>
    </row>
    <row r="6" spans="1:11">
      <c r="A6" s="10" t="s">
        <v>13</v>
      </c>
      <c r="B6" s="11" t="s">
        <v>25</v>
      </c>
      <c r="C6" s="23">
        <f>$G$10*$G$2*$G3</f>
        <v>281371.58999999997</v>
      </c>
      <c r="F6" s="1" t="s">
        <v>11</v>
      </c>
      <c r="G6" s="3">
        <v>0.12</v>
      </c>
      <c r="K6" t="s">
        <v>55</v>
      </c>
    </row>
    <row r="7" spans="1:11">
      <c r="A7" s="12" t="s">
        <v>13</v>
      </c>
      <c r="B7" t="s">
        <v>26</v>
      </c>
      <c r="C7" s="18">
        <f>$G$10*$G$2*$G4</f>
        <v>156317.54999999999</v>
      </c>
      <c r="K7" t="s">
        <v>56</v>
      </c>
    </row>
    <row r="8" spans="1:11">
      <c r="A8" s="12" t="s">
        <v>13</v>
      </c>
      <c r="B8" t="s">
        <v>27</v>
      </c>
      <c r="C8" s="18">
        <f>$G$10*$G$2*$G5</f>
        <v>112548.63599999998</v>
      </c>
      <c r="F8" s="4" t="s">
        <v>41</v>
      </c>
      <c r="G8" s="5" t="s">
        <v>42</v>
      </c>
      <c r="K8" t="s">
        <v>57</v>
      </c>
    </row>
    <row r="9" spans="1:11">
      <c r="A9" s="13" t="s">
        <v>13</v>
      </c>
      <c r="B9" s="14" t="s">
        <v>30</v>
      </c>
      <c r="C9" s="19">
        <f>$G$10*$G$2*$G6</f>
        <v>75032.423999999985</v>
      </c>
      <c r="F9" s="30" t="s">
        <v>1</v>
      </c>
      <c r="G9" s="28">
        <v>40458660</v>
      </c>
      <c r="I9" s="32">
        <v>40458660</v>
      </c>
      <c r="K9" t="s">
        <v>58</v>
      </c>
    </row>
    <row r="10" spans="1:11">
      <c r="A10" s="10" t="s">
        <v>14</v>
      </c>
      <c r="B10" s="11" t="s">
        <v>25</v>
      </c>
      <c r="C10" s="23">
        <f>$G$11*$G$2*$G3</f>
        <v>39919.5</v>
      </c>
      <c r="F10" s="30" t="s">
        <v>2</v>
      </c>
      <c r="G10" s="28">
        <v>20842340</v>
      </c>
      <c r="I10" s="32">
        <v>20842340</v>
      </c>
    </row>
    <row r="11" spans="1:11">
      <c r="A11" s="12" t="s">
        <v>14</v>
      </c>
      <c r="B11" t="s">
        <v>26</v>
      </c>
      <c r="C11" s="18">
        <f t="shared" ref="C11:C13" si="0">$G$11*$G$2*$G4</f>
        <v>22177.5</v>
      </c>
      <c r="F11" s="30" t="s">
        <v>3</v>
      </c>
      <c r="G11" s="28">
        <v>2957000</v>
      </c>
      <c r="K11" t="s">
        <v>64</v>
      </c>
    </row>
    <row r="12" spans="1:11" ht="30">
      <c r="A12" s="12" t="s">
        <v>14</v>
      </c>
      <c r="B12" t="s">
        <v>27</v>
      </c>
      <c r="C12" s="18">
        <f t="shared" si="0"/>
        <v>15967.8</v>
      </c>
      <c r="F12" s="30" t="s">
        <v>4</v>
      </c>
      <c r="G12" s="28">
        <v>1009270</v>
      </c>
      <c r="K12" t="s">
        <v>60</v>
      </c>
    </row>
    <row r="13" spans="1:11">
      <c r="A13" s="13" t="s">
        <v>14</v>
      </c>
      <c r="B13" s="14" t="s">
        <v>30</v>
      </c>
      <c r="C13" s="19">
        <f t="shared" si="0"/>
        <v>10645.199999999999</v>
      </c>
      <c r="F13" s="30" t="s">
        <v>5</v>
      </c>
      <c r="G13" s="28">
        <v>7171000</v>
      </c>
      <c r="K13" t="s">
        <v>61</v>
      </c>
    </row>
    <row r="14" spans="1:11">
      <c r="A14" s="10" t="s">
        <v>15</v>
      </c>
      <c r="B14" s="11" t="s">
        <v>25</v>
      </c>
      <c r="C14" s="23">
        <f>$G$12*$G$2*$G3</f>
        <v>13625.145</v>
      </c>
      <c r="F14" s="30" t="s">
        <v>6</v>
      </c>
      <c r="G14" s="28">
        <v>1333000</v>
      </c>
      <c r="K14" t="s">
        <v>62</v>
      </c>
    </row>
    <row r="15" spans="1:11">
      <c r="A15" s="12" t="s">
        <v>15</v>
      </c>
      <c r="B15" t="s">
        <v>26</v>
      </c>
      <c r="C15" s="18">
        <f t="shared" ref="C15:C17" si="1">$G$12*$G$2*$G4</f>
        <v>7569.5249999999996</v>
      </c>
      <c r="F15" s="31" t="s">
        <v>43</v>
      </c>
      <c r="G15" s="29">
        <v>16193300</v>
      </c>
      <c r="K15" t="s">
        <v>63</v>
      </c>
    </row>
    <row r="16" spans="1:11">
      <c r="A16" s="12" t="s">
        <v>15</v>
      </c>
      <c r="B16" t="s">
        <v>27</v>
      </c>
      <c r="C16" s="18">
        <f t="shared" si="1"/>
        <v>5450.0579999999991</v>
      </c>
      <c r="F16" s="30" t="s">
        <v>44</v>
      </c>
      <c r="G16" s="28">
        <v>5209870</v>
      </c>
    </row>
    <row r="17" spans="1:6">
      <c r="A17" s="13" t="s">
        <v>15</v>
      </c>
      <c r="B17" s="14" t="s">
        <v>30</v>
      </c>
      <c r="C17" s="19">
        <f t="shared" si="1"/>
        <v>3633.3719999999998</v>
      </c>
    </row>
    <row r="18" spans="1:6">
      <c r="A18" s="10" t="s">
        <v>5</v>
      </c>
      <c r="B18" s="11" t="s">
        <v>25</v>
      </c>
      <c r="C18" s="23">
        <f>$G$13*$G$2*$G3</f>
        <v>96808.5</v>
      </c>
      <c r="F18" t="s">
        <v>35</v>
      </c>
    </row>
    <row r="19" spans="1:6">
      <c r="A19" s="12" t="s">
        <v>5</v>
      </c>
      <c r="B19" t="s">
        <v>26</v>
      </c>
      <c r="C19" s="18">
        <f t="shared" ref="C19:C21" si="2">$G$13*$G$2*$G4</f>
        <v>53782.5</v>
      </c>
    </row>
    <row r="20" spans="1:6">
      <c r="A20" s="12" t="s">
        <v>5</v>
      </c>
      <c r="B20" t="s">
        <v>27</v>
      </c>
      <c r="C20" s="18">
        <f t="shared" si="2"/>
        <v>38723.4</v>
      </c>
    </row>
    <row r="21" spans="1:6">
      <c r="A21" s="13" t="s">
        <v>5</v>
      </c>
      <c r="B21" s="14" t="s">
        <v>30</v>
      </c>
      <c r="C21" s="19">
        <f t="shared" si="2"/>
        <v>25815.599999999999</v>
      </c>
    </row>
    <row r="22" spans="1:6">
      <c r="A22" s="10" t="s">
        <v>6</v>
      </c>
      <c r="B22" s="11" t="s">
        <v>25</v>
      </c>
      <c r="C22" s="23">
        <f>$G$14*$G$2*$G3</f>
        <v>17995.5</v>
      </c>
    </row>
    <row r="23" spans="1:6">
      <c r="A23" s="12" t="s">
        <v>6</v>
      </c>
      <c r="B23" t="s">
        <v>26</v>
      </c>
      <c r="C23" s="18">
        <f t="shared" ref="C23:C25" si="3">$G$14*$G$2*$G4</f>
        <v>9997.5</v>
      </c>
    </row>
    <row r="24" spans="1:6">
      <c r="A24" s="12" t="s">
        <v>6</v>
      </c>
      <c r="B24" t="s">
        <v>27</v>
      </c>
      <c r="C24" s="18">
        <f t="shared" si="3"/>
        <v>7198.2</v>
      </c>
    </row>
    <row r="25" spans="1:6">
      <c r="A25" s="13" t="s">
        <v>6</v>
      </c>
      <c r="B25" s="14" t="s">
        <v>30</v>
      </c>
      <c r="C25" s="19">
        <f t="shared" si="3"/>
        <v>4798.8</v>
      </c>
    </row>
    <row r="26" spans="1:6">
      <c r="A26" s="10" t="s">
        <v>31</v>
      </c>
      <c r="B26" s="11" t="s">
        <v>25</v>
      </c>
      <c r="C26" s="23">
        <f>$G$15*$G$2*$G3</f>
        <v>218609.55000000002</v>
      </c>
    </row>
    <row r="27" spans="1:6">
      <c r="A27" s="12" t="s">
        <v>31</v>
      </c>
      <c r="B27" t="s">
        <v>26</v>
      </c>
      <c r="C27" s="18">
        <f t="shared" ref="C27:C29" si="4">$G$15*$G$2*$G4</f>
        <v>121449.75</v>
      </c>
    </row>
    <row r="28" spans="1:6">
      <c r="A28" s="12" t="s">
        <v>31</v>
      </c>
      <c r="B28" t="s">
        <v>27</v>
      </c>
      <c r="C28" s="18">
        <f t="shared" si="4"/>
        <v>87443.819999999992</v>
      </c>
    </row>
    <row r="29" spans="1:6">
      <c r="A29" s="13" t="s">
        <v>31</v>
      </c>
      <c r="B29" s="14" t="s">
        <v>30</v>
      </c>
      <c r="C29" s="19">
        <f t="shared" si="4"/>
        <v>58295.88</v>
      </c>
    </row>
    <row r="30" spans="1:6">
      <c r="A30" s="10" t="s">
        <v>32</v>
      </c>
      <c r="B30" s="11" t="s">
        <v>25</v>
      </c>
      <c r="C30" s="23">
        <f>$G$16*$G$2*$G3</f>
        <v>70333.24500000001</v>
      </c>
    </row>
    <row r="31" spans="1:6">
      <c r="A31" s="12" t="s">
        <v>32</v>
      </c>
      <c r="B31" t="s">
        <v>26</v>
      </c>
      <c r="C31" s="18">
        <f t="shared" ref="C31:C33" si="5">$G$16*$G$2*$G4</f>
        <v>39074.025000000001</v>
      </c>
    </row>
    <row r="32" spans="1:6">
      <c r="A32" s="12" t="s">
        <v>32</v>
      </c>
      <c r="B32" t="s">
        <v>27</v>
      </c>
      <c r="C32" s="18">
        <f t="shared" si="5"/>
        <v>28133.297999999999</v>
      </c>
    </row>
    <row r="33" spans="1:3">
      <c r="A33" s="13" t="s">
        <v>32</v>
      </c>
      <c r="B33" s="14" t="s">
        <v>30</v>
      </c>
      <c r="C33" s="19">
        <f t="shared" si="5"/>
        <v>18755.531999999999</v>
      </c>
    </row>
  </sheetData>
  <mergeCells count="1">
    <mergeCell ref="F1:G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F6F6-1337-4953-8B5F-A60C64F6CF43}">
  <dimension ref="A1:A2"/>
  <sheetViews>
    <sheetView workbookViewId="0">
      <selection activeCell="E7" sqref="E7"/>
    </sheetView>
  </sheetViews>
  <sheetFormatPr baseColWidth="10" defaultRowHeight="15"/>
  <cols>
    <col min="1" max="1" width="17.85546875" bestFit="1" customWidth="1"/>
  </cols>
  <sheetData>
    <row r="1" spans="1:1">
      <c r="A1" s="26" t="s">
        <v>59</v>
      </c>
    </row>
    <row r="2" spans="1:1">
      <c r="A2" s="27">
        <v>1168344890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14</vt:i4>
      </vt:variant>
    </vt:vector>
  </HeadingPairs>
  <TitlesOfParts>
    <vt:vector size="21" baseType="lpstr">
      <vt:lpstr>SETS</vt:lpstr>
      <vt:lpstr>PRODUCTOS</vt:lpstr>
      <vt:lpstr>CAPACIDADES</vt:lpstr>
      <vt:lpstr>DESCREMA</vt:lpstr>
      <vt:lpstr>COSTOS</vt:lpstr>
      <vt:lpstr>DEMANDA</vt:lpstr>
      <vt:lpstr>PARAMETROS</vt:lpstr>
      <vt:lpstr>CAPACIDAD_CREMA</vt:lpstr>
      <vt:lpstr>CAPACIDAD_LECHE_EN_POLVO</vt:lpstr>
      <vt:lpstr>CAPACIDAD_LECHE_FLUIDA</vt:lpstr>
      <vt:lpstr>CAPACIDAD_MANTECA</vt:lpstr>
      <vt:lpstr>CAPACIDAD_QUESO</vt:lpstr>
      <vt:lpstr>CENTROS</vt:lpstr>
      <vt:lpstr>COSTO</vt:lpstr>
      <vt:lpstr>COSTO_LD_SF</vt:lpstr>
      <vt:lpstr>DEM</vt:lpstr>
      <vt:lpstr>DESCREMA</vt:lpstr>
      <vt:lpstr>FACTOR_CONVERSION</vt:lpstr>
      <vt:lpstr>LECHE_DISPONIBLE</vt:lpstr>
      <vt:lpstr>PLANTA</vt:lpstr>
      <vt:lpstr>PRODUCTOS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ESTUDIO</dc:creator>
  <cp:lastModifiedBy>Juani Alaguibe</cp:lastModifiedBy>
  <cp:lastPrinted>2026-05-28T15:21:48Z</cp:lastPrinted>
  <dcterms:created xsi:type="dcterms:W3CDTF">2015-06-05T18:19:34Z</dcterms:created>
  <dcterms:modified xsi:type="dcterms:W3CDTF">2026-05-28T19:45:04Z</dcterms:modified>
</cp:coreProperties>
</file>